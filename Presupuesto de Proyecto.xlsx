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uand-martinezo_unilibre_edu_co/Documents/"/>
    </mc:Choice>
  </mc:AlternateContent>
  <xr:revisionPtr revIDLastSave="0" documentId="8_{30AFE141-CFAC-46CE-9E23-296589C1BB9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resupuesto del proyecto" sheetId="6" r:id="rId1"/>
    <sheet name="Presupuesto General" sheetId="8" r:id="rId2"/>
    <sheet name="listas desplegables" sheetId="3" r:id="rId3"/>
  </sheets>
  <externalReferences>
    <externalReference r:id="rId4"/>
    <externalReference r:id="rId5"/>
  </externalReferences>
  <definedNames>
    <definedName name="_xlnm.Print_Area" localSheetId="0">'Presupuesto del proyecto'!$B$1:$U$47</definedName>
    <definedName name="Priority">#REF!</definedName>
    <definedName name="Status">'listas desplegables'!$D$5:$D$7</definedName>
    <definedName name="Type" localSheetId="2">'[1]Risk Assessment &amp; Control'!#REF!</definedName>
    <definedName name="Type">'[2]Maintenance Work Order'!#REF!</definedName>
    <definedName name="YesNo">'listas desplegables'!$B$5:$B$6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24" i="6" l="1"/>
  <c r="T24" i="6"/>
  <c r="T23" i="6"/>
  <c r="N11" i="6"/>
  <c r="J11" i="8"/>
  <c r="N16" i="6"/>
  <c r="J22" i="6"/>
  <c r="J24" i="6"/>
  <c r="J23" i="6"/>
  <c r="N14" i="6"/>
  <c r="T14" i="6" s="1"/>
  <c r="N13" i="6"/>
  <c r="N12" i="6"/>
  <c r="N15" i="6"/>
  <c r="N17" i="6"/>
  <c r="N18" i="6"/>
  <c r="J18" i="6"/>
  <c r="J17" i="6"/>
  <c r="T17" i="6" s="1"/>
  <c r="U17" i="6" s="1"/>
  <c r="J16" i="6"/>
  <c r="T16" i="6" s="1"/>
  <c r="U16" i="6" s="1"/>
  <c r="J15" i="6"/>
  <c r="T15" i="6" s="1"/>
  <c r="U15" i="6" s="1"/>
  <c r="J14" i="6"/>
  <c r="U14" i="6" s="1"/>
  <c r="J13" i="6"/>
  <c r="T13" i="6" s="1"/>
  <c r="U13" i="6" s="1"/>
  <c r="P46" i="6"/>
  <c r="Q46" i="6"/>
  <c r="S46" i="6"/>
  <c r="R46" i="6"/>
  <c r="N5" i="6"/>
  <c r="T5" i="6" s="1"/>
  <c r="N6" i="6"/>
  <c r="J17" i="8"/>
  <c r="J16" i="8"/>
  <c r="J15" i="8"/>
  <c r="J14" i="8"/>
  <c r="J13" i="8"/>
  <c r="J12" i="8"/>
  <c r="J10" i="8"/>
  <c r="J9" i="8"/>
  <c r="J8" i="8"/>
  <c r="J7" i="8"/>
  <c r="J6" i="8"/>
  <c r="J5" i="8"/>
  <c r="J4" i="8"/>
  <c r="J3" i="8"/>
  <c r="C9" i="8"/>
  <c r="Z4" i="6" s="1"/>
  <c r="D9" i="8"/>
  <c r="U4" i="8"/>
  <c r="V7" i="8"/>
  <c r="Z7" i="6" s="1"/>
  <c r="P9" i="8"/>
  <c r="Z6" i="6" s="1"/>
  <c r="I17" i="8"/>
  <c r="Z5" i="6" s="1"/>
  <c r="N42" i="6"/>
  <c r="J42" i="6"/>
  <c r="T42" i="6" s="1"/>
  <c r="U42" i="6" s="1"/>
  <c r="N41" i="6"/>
  <c r="J41" i="6"/>
  <c r="N40" i="6"/>
  <c r="J40" i="6"/>
  <c r="N38" i="6"/>
  <c r="J38" i="6"/>
  <c r="T38" i="6" s="1"/>
  <c r="U38" i="6" s="1"/>
  <c r="N37" i="6"/>
  <c r="J37" i="6"/>
  <c r="N36" i="6"/>
  <c r="J36" i="6"/>
  <c r="N35" i="6"/>
  <c r="J35" i="6"/>
  <c r="N43" i="6"/>
  <c r="J43" i="6"/>
  <c r="T43" i="6" s="1"/>
  <c r="U43" i="6" s="1"/>
  <c r="N39" i="6"/>
  <c r="J39" i="6"/>
  <c r="T39" i="6" s="1"/>
  <c r="U39" i="6" s="1"/>
  <c r="J44" i="6"/>
  <c r="N44" i="6"/>
  <c r="J45" i="6"/>
  <c r="N45" i="6"/>
  <c r="N30" i="6"/>
  <c r="J30" i="6"/>
  <c r="T30" i="6" s="1"/>
  <c r="U30" i="6" s="1"/>
  <c r="N29" i="6"/>
  <c r="J29" i="6"/>
  <c r="N28" i="6"/>
  <c r="J28" i="6"/>
  <c r="N27" i="6"/>
  <c r="J27" i="6"/>
  <c r="N26" i="6"/>
  <c r="J26" i="6"/>
  <c r="T26" i="6" s="1"/>
  <c r="U26" i="6" s="1"/>
  <c r="N25" i="6"/>
  <c r="J25" i="6"/>
  <c r="N19" i="6"/>
  <c r="J19" i="6"/>
  <c r="T19" i="6" s="1"/>
  <c r="U19" i="6" s="1"/>
  <c r="J12" i="6"/>
  <c r="J11" i="6"/>
  <c r="N10" i="6"/>
  <c r="J10" i="6"/>
  <c r="N9" i="6"/>
  <c r="J9" i="6"/>
  <c r="N8" i="6"/>
  <c r="J8" i="6"/>
  <c r="N7" i="6"/>
  <c r="J7" i="6"/>
  <c r="J6" i="6"/>
  <c r="J5" i="6"/>
  <c r="J20" i="6"/>
  <c r="J21" i="6"/>
  <c r="J31" i="6"/>
  <c r="J32" i="6"/>
  <c r="J33" i="6"/>
  <c r="J34" i="6"/>
  <c r="N20" i="6"/>
  <c r="N21" i="6"/>
  <c r="N22" i="6"/>
  <c r="N23" i="6"/>
  <c r="N31" i="6"/>
  <c r="N32" i="6"/>
  <c r="N33" i="6"/>
  <c r="N34" i="6"/>
  <c r="T18" i="6" l="1"/>
  <c r="U18" i="6" s="1"/>
  <c r="T28" i="6"/>
  <c r="U28" i="6" s="1"/>
  <c r="T44" i="6"/>
  <c r="U44" i="6" s="1"/>
  <c r="T41" i="6"/>
  <c r="U41" i="6" s="1"/>
  <c r="N46" i="6"/>
  <c r="T36" i="6"/>
  <c r="U36" i="6" s="1"/>
  <c r="J46" i="6"/>
  <c r="U5" i="6"/>
  <c r="Z9" i="6"/>
  <c r="Z10" i="6" s="1"/>
  <c r="T9" i="6"/>
  <c r="U9" i="6" s="1"/>
  <c r="T40" i="6"/>
  <c r="U40" i="6" s="1"/>
  <c r="T12" i="6"/>
  <c r="U12" i="6" s="1"/>
  <c r="T11" i="6"/>
  <c r="U11" i="6" s="1"/>
  <c r="T8" i="6"/>
  <c r="U8" i="6" s="1"/>
  <c r="T35" i="6"/>
  <c r="U35" i="6" s="1"/>
  <c r="T37" i="6"/>
  <c r="U37" i="6" s="1"/>
  <c r="T45" i="6"/>
  <c r="U45" i="6" s="1"/>
  <c r="T25" i="6"/>
  <c r="U25" i="6" s="1"/>
  <c r="T29" i="6"/>
  <c r="U29" i="6" s="1"/>
  <c r="T27" i="6"/>
  <c r="U27" i="6" s="1"/>
  <c r="T22" i="6"/>
  <c r="U22" i="6" s="1"/>
  <c r="T6" i="6"/>
  <c r="U6" i="6" s="1"/>
  <c r="T33" i="6"/>
  <c r="U33" i="6" s="1"/>
  <c r="T10" i="6"/>
  <c r="U10" i="6" s="1"/>
  <c r="T7" i="6"/>
  <c r="U7" i="6" s="1"/>
  <c r="T21" i="6"/>
  <c r="U21" i="6" s="1"/>
  <c r="T34" i="6"/>
  <c r="U34" i="6" s="1"/>
  <c r="T32" i="6"/>
  <c r="U32" i="6" s="1"/>
  <c r="T31" i="6"/>
  <c r="U31" i="6" s="1"/>
  <c r="U23" i="6"/>
  <c r="T20" i="6"/>
  <c r="U20" i="6" s="1"/>
  <c r="AA4" i="6" l="1"/>
  <c r="AA5" i="6"/>
  <c r="AA6" i="6"/>
  <c r="AA7" i="6"/>
  <c r="AA8" i="6"/>
  <c r="AA9" i="6"/>
  <c r="T46" i="6"/>
  <c r="U46" i="6" l="1"/>
  <c r="U48" i="6"/>
  <c r="AA10" i="6"/>
</calcChain>
</file>

<file path=xl/sharedStrings.xml><?xml version="1.0" encoding="utf-8"?>
<sst xmlns="http://schemas.openxmlformats.org/spreadsheetml/2006/main" count="319" uniqueCount="218">
  <si>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</si>
  <si>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</si>
  <si>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</si>
  <si>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</si>
  <si>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</si>
  <si>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</si>
  <si>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</si>
  <si>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</si>
  <si>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</si>
  <si>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</si>
  <si>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</si>
  <si>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</si>
  <si>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</si>
  <si>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</si>
  <si>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</si>
  <si>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ID Material</t>
  </si>
  <si>
    <t>UNIDADES</t>
  </si>
  <si>
    <t>VALOR UNIDAD</t>
  </si>
  <si>
    <t>TOTAL MATERIALES</t>
  </si>
  <si>
    <t>ID Equipo</t>
  </si>
  <si>
    <t>VIAJES</t>
  </si>
  <si>
    <t>EQUIPOS</t>
  </si>
  <si>
    <t>MISCELANEOS</t>
  </si>
  <si>
    <t>PRESUPUESTO</t>
  </si>
  <si>
    <t>REAL</t>
  </si>
  <si>
    <t>Diferencia (Menos / Más del Presupuesto)</t>
  </si>
  <si>
    <t>No.</t>
  </si>
  <si>
    <t>Rubro Presupuestal</t>
  </si>
  <si>
    <t>TOTAL ($)</t>
  </si>
  <si>
    <t>% del Total</t>
  </si>
  <si>
    <t>PROJECT 1</t>
  </si>
  <si>
    <t>01.</t>
  </si>
  <si>
    <t>Talento Humano</t>
  </si>
  <si>
    <t>Acta de Proyecto</t>
  </si>
  <si>
    <t>Formalización y aprobación del proyecto.</t>
  </si>
  <si>
    <t>Completo</t>
  </si>
  <si>
    <t>M06</t>
  </si>
  <si>
    <t>E01,E02,E07,E08</t>
  </si>
  <si>
    <t>02.</t>
  </si>
  <si>
    <t>Equipos y Software</t>
  </si>
  <si>
    <t>Definir cronograma</t>
  </si>
  <si>
    <t>Definir fases, actividades, tiempos y entregables del proyecto.</t>
  </si>
  <si>
    <t>E05</t>
  </si>
  <si>
    <t>03.</t>
  </si>
  <si>
    <t>Materiales, Insumos y Doc.</t>
  </si>
  <si>
    <t>Crear Trello</t>
  </si>
  <si>
    <t>Creacion de un tablero virtual para organizar las actividades y tareas</t>
  </si>
  <si>
    <t xml:space="preserve">E01 </t>
  </si>
  <si>
    <t>04.</t>
  </si>
  <si>
    <t>Infraestructura</t>
  </si>
  <si>
    <t>Crear Daiagrama de Gantt</t>
  </si>
  <si>
    <t>Creación de la herramienta gráfica para visualizar y gestionar el cronograma de actividades del proyecto.</t>
  </si>
  <si>
    <t>E03,E09</t>
  </si>
  <si>
    <t>05.</t>
  </si>
  <si>
    <t xml:space="preserve">Viaticos </t>
  </si>
  <si>
    <t>Planificar recursos</t>
  </si>
  <si>
    <t>Definir recursos humanos, tecnológicos y materiales necesarios.</t>
  </si>
  <si>
    <t>M05</t>
  </si>
  <si>
    <t>E02,E05,E08</t>
  </si>
  <si>
    <t>06.</t>
  </si>
  <si>
    <t>Contingencia</t>
  </si>
  <si>
    <t>Planificar adquisiciones</t>
  </si>
  <si>
    <t>Definir herramientas, servicios o recursos externos necesarios.</t>
  </si>
  <si>
    <t>TOTAL PROYECTO</t>
  </si>
  <si>
    <t>Estimar costos y elaborar presupuesto</t>
  </si>
  <si>
    <t>Estimar costos de desarrollo, herramientas, infraestructura y pruebas.</t>
  </si>
  <si>
    <t>Generar archivo unificado de Documentación</t>
  </si>
  <si>
    <t>Documentar requisitos funcionales y no funcionales de la aplicación móvil.</t>
  </si>
  <si>
    <t>Levantamiento de Requerimientos funcionales</t>
  </si>
  <si>
    <t>Documentar las funciones específicas que debe realizar el sistema</t>
  </si>
  <si>
    <t>E04</t>
  </si>
  <si>
    <t>Levantamiento de Requerimientos No funcionales</t>
  </si>
  <si>
    <t>Definir atributos de calidad como rendimiento, seguridad y restricciones técnicas.</t>
  </si>
  <si>
    <t>Definir criterios de aceptación</t>
  </si>
  <si>
    <t>Establecer condiciones para aceptar los módulos y la solución final.</t>
  </si>
  <si>
    <t>E06</t>
  </si>
  <si>
    <t>Historias de Usuario</t>
  </si>
  <si>
    <t>Describir las funcionalidades del sistema desde la perspectiva del usuario.</t>
  </si>
  <si>
    <t>Casos de uso</t>
  </si>
  <si>
    <t>Detallar las interacciones paso a paso entre los actores y el sistema.</t>
  </si>
  <si>
    <t>Diagramas Casos de uso</t>
  </si>
  <si>
    <t>Representar gráficamente en UML las interacciones de los actores.</t>
  </si>
  <si>
    <t>Diagrama de Requerimientos Funcionales</t>
  </si>
  <si>
    <t>Estructurar y jerarquizar visualmente los requerimientos del sistema.</t>
  </si>
  <si>
    <t>Diagrama entidad-Relación</t>
  </si>
  <si>
    <t>Diseñar gráficamente la estructura lógica de la base de datos.</t>
  </si>
  <si>
    <t>Diagrama de Arquitectura de Software</t>
  </si>
  <si>
    <t>Representar visualmente la estructura general y componentes del sistema.</t>
  </si>
  <si>
    <t>Generar EDT</t>
  </si>
  <si>
    <t>Desglosar jerárquicamente el proyecto en componentes y entregables más pequeños y manejables.</t>
  </si>
  <si>
    <t>E01,E06,E07</t>
  </si>
  <si>
    <t>Generar Repositorio GitHub</t>
  </si>
  <si>
    <t>Crear y configurar el repositorio central en la nube para el control de versiones del código.</t>
  </si>
  <si>
    <t>E01,E07, E10</t>
  </si>
  <si>
    <t>Análisis funcional y técnico (Alcance)</t>
  </si>
  <si>
    <t>Definir los límites, capacidades técnicas y funcionalidades clave que abarcará el proyecto.</t>
  </si>
  <si>
    <t>En Espera</t>
  </si>
  <si>
    <t>E02,E08</t>
  </si>
  <si>
    <t>Diseño de arquitectura</t>
  </si>
  <si>
    <t>Diseñar la arquitectura de la app móvil, backend, base de datos y módulo de IA.</t>
  </si>
  <si>
    <t>No Iniciado</t>
  </si>
  <si>
    <t>Diseño de base de datos</t>
  </si>
  <si>
    <t>Diseñar tablas y relaciones para usuarios, productos, categorías y movimientos.</t>
  </si>
  <si>
    <t>Diseño de interfaz y experiencia de usuario</t>
  </si>
  <si>
    <t>Diseñar pantallas y navegación intuitiva para los emprendedores.</t>
  </si>
  <si>
    <t>Diseño detallado de la solución</t>
  </si>
  <si>
    <t>Definir componentes, módulos, flujos y comunicación entre partes.</t>
  </si>
  <si>
    <t>Configuración del entorno de desarrollo</t>
  </si>
  <si>
    <t>Preparar herramientas, repositorio, dependencias y ambientes de desarrollo.</t>
  </si>
  <si>
    <t>Desarrollo / programación</t>
  </si>
  <si>
    <t>Programar usuarios, productos, inventario, movimientos y alertas.</t>
  </si>
  <si>
    <t>Integración de componentes</t>
  </si>
  <si>
    <t>Integrar aplicación móvil, backend y base de datos.</t>
  </si>
  <si>
    <t>Gestión de código fuente y versiones</t>
  </si>
  <si>
    <t>Controlar versiones, cambios y respaldos del código fuente.</t>
  </si>
  <si>
    <t>Desarrollo del módulo de IA</t>
  </si>
  <si>
    <t>Preparar datos, entrenar el modelo y generar predicciones de productos a comprar.</t>
  </si>
  <si>
    <t>Integración del módulo de IA</t>
  </si>
  <si>
    <t>Integrar las recomendaciones de compra dentro de la aplicación.</t>
  </si>
  <si>
    <t>Pruebas unitarias</t>
  </si>
  <si>
    <t>Comprobar individualmente cada función y componente.</t>
  </si>
  <si>
    <t>Pruebas de integración</t>
  </si>
  <si>
    <t>Verificar la comunicación entre aplicación, backend, base de datos e IA.</t>
  </si>
  <si>
    <t>Pruebas funcionales</t>
  </si>
  <si>
    <t>Validar que las funcionalidades cumplan los requisitos definidos.</t>
  </si>
  <si>
    <t>Pruebas de sistema</t>
  </si>
  <si>
    <t>Evaluar la plataforma completa en condiciones de uso real.</t>
  </si>
  <si>
    <t>Corrección de defectos</t>
  </si>
  <si>
    <t>Corregir errores encontrados y repetir las pruebas necesarias.</t>
  </si>
  <si>
    <t>Pruebas de precisión del modelo de IA</t>
  </si>
  <si>
    <t>Evaluar la precisión de las predicciones y ajustar el modelo si es necesario.</t>
  </si>
  <si>
    <t>Pruebas de usabilidad</t>
  </si>
  <si>
    <t>Comprobar que la aplicación sea intuitiva, clara y fácil de utilizar.</t>
  </si>
  <si>
    <t>Implementación de la plataforma</t>
  </si>
  <si>
    <t>Poner en funcionamiento la aplicación y sus servicios.</t>
  </si>
  <si>
    <t>Capacitación de usuarios</t>
  </si>
  <si>
    <t>Capacitar a los emprendedores en el uso del inventario y las predicciones.</t>
  </si>
  <si>
    <t>Seguimiento y monitoreo</t>
  </si>
  <si>
    <t>Verificar funcionamiento y recopilar observaciones de los usuarios.</t>
  </si>
  <si>
    <t>Cierre del proyecto</t>
  </si>
  <si>
    <t>Documentar resultados, entregables, lecciones aprendidas y cierre formal.</t>
  </si>
  <si>
    <t>SUBTOTAL</t>
  </si>
  <si>
    <t>Queda</t>
  </si>
  <si>
    <t>Asociado</t>
  </si>
  <si>
    <t>Sueldo</t>
  </si>
  <si>
    <t>Valor Hora</t>
  </si>
  <si>
    <t>ID</t>
  </si>
  <si>
    <t>Nombre</t>
  </si>
  <si>
    <t>Descripción</t>
  </si>
  <si>
    <t>Valor</t>
  </si>
  <si>
    <t>Cantidad</t>
  </si>
  <si>
    <t>Valor Unitario</t>
  </si>
  <si>
    <t>Valor unitario</t>
  </si>
  <si>
    <r>
      <t>Cristian Felipe Gómez</t>
    </r>
    <r>
      <rPr>
        <sz val="12"/>
        <color theme="1"/>
        <rFont val="Calibri"/>
        <family val="2"/>
        <scheme val="minor"/>
      </rPr>
      <t xml:space="preserve"> : </t>
    </r>
  </si>
  <si>
    <t>E01</t>
  </si>
  <si>
    <t>Computador</t>
  </si>
  <si>
    <t>Computador Portátil Gamer HP Victus 15.6" Fa2014la (Intel Core i5)</t>
  </si>
  <si>
    <t>M01</t>
  </si>
  <si>
    <t>Resma de papel</t>
  </si>
  <si>
    <t>INF00</t>
  </si>
  <si>
    <t xml:space="preserve">Servidor Físico NAS </t>
  </si>
  <si>
    <t>1 Unidad</t>
  </si>
  <si>
    <r>
      <t>Juan David Martínez Ortiz</t>
    </r>
    <r>
      <rPr>
        <sz val="12"/>
        <color theme="1"/>
        <rFont val="Calibri"/>
        <family val="2"/>
        <scheme val="minor"/>
      </rPr>
      <t xml:space="preserve"> ): </t>
    </r>
  </si>
  <si>
    <t>E02</t>
  </si>
  <si>
    <t>Lenovo LOQ 15IRX9 (Intel Core i5-13450HX, 16 GB RAM DDR5, 512 GB SSD, Gráficos RTX 3050)</t>
  </si>
  <si>
    <t>M02</t>
  </si>
  <si>
    <t>Caja de esferos</t>
  </si>
  <si>
    <t>INF01</t>
  </si>
  <si>
    <t>Alquiler de Coworking</t>
  </si>
  <si>
    <t>(3 meses, 6 puestos)</t>
  </si>
  <si>
    <r>
      <t>Yudy Mayerli Gutierrez</t>
    </r>
    <r>
      <rPr>
        <sz val="12"/>
        <color theme="1"/>
        <rFont val="Calibri"/>
        <family val="2"/>
        <scheme val="minor"/>
      </rPr>
      <t>:</t>
    </r>
  </si>
  <si>
    <t>E03</t>
  </si>
  <si>
    <t>Lenovo Ideapad Slim 3 15IRH10 (Intel Core i5, 16 GB RAM, 512 GB SSD)</t>
  </si>
  <si>
    <t>M03</t>
  </si>
  <si>
    <t>USB</t>
  </si>
  <si>
    <t>INF02</t>
  </si>
  <si>
    <t>Trámite de registro de software ante la SIC</t>
  </si>
  <si>
    <r>
      <t>Fabian Acosta</t>
    </r>
    <r>
      <rPr>
        <sz val="12"/>
        <color theme="1"/>
        <rFont val="Calibri"/>
        <family val="2"/>
        <scheme val="minor"/>
      </rPr>
      <t xml:space="preserve">  </t>
    </r>
  </si>
  <si>
    <t>Asus Vivobook 16 (Intel Core i5-13420H, 16 GB RAM, 512 GB SSD)</t>
  </si>
  <si>
    <t>M04</t>
  </si>
  <si>
    <t>Carpeta</t>
  </si>
  <si>
    <t>INF03</t>
  </si>
  <si>
    <t xml:space="preserve">Sistema UPS 3kVA </t>
  </si>
  <si>
    <r>
      <t>Luisa Rojas Guzmán</t>
    </r>
    <r>
      <rPr>
        <sz val="12"/>
        <color theme="1"/>
        <rFont val="Calibri"/>
        <family val="2"/>
        <scheme val="minor"/>
      </rPr>
      <t xml:space="preserve">  </t>
    </r>
  </si>
  <si>
    <t>Cafetera</t>
  </si>
  <si>
    <t>Total</t>
  </si>
  <si>
    <t>Santiago Falla Perdomo</t>
  </si>
  <si>
    <t>Refrijerio (1 semanal)</t>
  </si>
  <si>
    <t>E07</t>
  </si>
  <si>
    <t>Pantalla</t>
  </si>
  <si>
    <t>Monitor SAMSUNG 27" Pulgadas F320 FHD Plano Negro</t>
  </si>
  <si>
    <t xml:space="preserve">Total </t>
  </si>
  <si>
    <t>E08</t>
  </si>
  <si>
    <t>E09</t>
  </si>
  <si>
    <t>Horas Total</t>
  </si>
  <si>
    <t>E10</t>
  </si>
  <si>
    <t>Software</t>
  </si>
  <si>
    <t>GitHub Copilot Business (6 meses):</t>
  </si>
  <si>
    <t>E11</t>
  </si>
  <si>
    <t>Figma Professional UI/UX (6 meses)</t>
  </si>
  <si>
    <t>E12</t>
  </si>
  <si>
    <t>OpenAI ChatGPT Team</t>
  </si>
  <si>
    <t>E13</t>
  </si>
  <si>
    <t>Claude Pro / Team</t>
  </si>
  <si>
    <t>E14</t>
  </si>
  <si>
    <t>Google One AI Premium</t>
  </si>
  <si>
    <t>listas desplegables</t>
  </si>
  <si>
    <t>SI / NO</t>
  </si>
  <si>
    <t>PRIORIDAD</t>
  </si>
  <si>
    <t>Si</t>
  </si>
  <si>
    <t>Baja</t>
  </si>
  <si>
    <t>No</t>
  </si>
  <si>
    <t>Media</t>
  </si>
  <si>
    <t>En Progreso</t>
  </si>
  <si>
    <t>Alta</t>
  </si>
  <si>
    <t>Requiere Revisión</t>
  </si>
  <si>
    <t>Aprobado</t>
  </si>
  <si>
    <t>Atrasado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</si>
</sst>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/dd/yy;@"/>
    <numFmt numFmtId="166" formatCode="_(&quot;$&quot;* #,##0_);_(&quot;$&quot;* \(#,##0\);_(&quot;$&quot;* &quot;-&quot;??_);_(@_)"/>
    <numFmt numFmtId="167" formatCode="0.0%"/>
    <numFmt numFmtId="168" formatCode="[$-F800]dddd\,\ mmmm\ dd\,\ yyyy"/>
  </numFmts>
  <fonts count="2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0"/>
      <color theme="1"/>
      <name val="Century Gothic"/>
      <family val="1"/>
    </font>
    <font>
      <u/>
      <sz val="10"/>
      <name val="Arial"/>
      <family val="2"/>
    </font>
    <font>
      <sz val="11"/>
      <color rgb="FF000000"/>
      <name val="Calibri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4B942"/>
      </patternFill>
    </fill>
  </fills>
  <borders count="3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AAAAA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AAAAAA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139">
    <xf numFmtId="0" fontId="0" fillId="0" borderId="0" xfId="0"/>
    <xf numFmtId="164" fontId="4" fillId="3" borderId="0" xfId="0" applyNumberFormat="1" applyFont="1" applyFill="1" applyAlignment="1" applyProtection="1">
      <alignment wrapText="1"/>
      <protection locked="0"/>
    </xf>
    <xf numFmtId="7" fontId="4" fillId="3" borderId="0" xfId="1" applyNumberFormat="1" applyFont="1" applyFill="1" applyBorder="1" applyAlignment="1" applyProtection="1">
      <alignment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43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4" fontId="4" fillId="3" borderId="0" xfId="0" applyNumberFormat="1" applyFont="1" applyFill="1" applyAlignment="1" applyProtection="1">
      <alignment horizontal="left" vertical="center" wrapText="1" indent="1"/>
      <protection locked="0"/>
    </xf>
    <xf numFmtId="7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43" fontId="4" fillId="3" borderId="0" xfId="1" applyNumberFormat="1" applyFont="1" applyFill="1" applyBorder="1" applyAlignment="1" applyProtection="1">
      <alignment horizontal="left" vertical="center" wrapText="1" indent="1"/>
    </xf>
    <xf numFmtId="43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165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7" fontId="11" fillId="5" borderId="1" xfId="1" applyNumberFormat="1" applyFont="1" applyFill="1" applyBorder="1" applyAlignment="1" applyProtection="1">
      <alignment vertical="center"/>
      <protection locked="0"/>
    </xf>
    <xf numFmtId="0" fontId="17" fillId="3" borderId="0" xfId="0" applyFont="1" applyFill="1" applyAlignment="1">
      <alignment vertical="center"/>
    </xf>
    <xf numFmtId="5" fontId="11" fillId="5" borderId="1" xfId="0" applyNumberFormat="1" applyFont="1" applyFill="1" applyBorder="1" applyAlignment="1" applyProtection="1">
      <alignment vertical="center"/>
      <protection locked="0"/>
    </xf>
    <xf numFmtId="165" fontId="5" fillId="0" borderId="1" xfId="0" applyNumberFormat="1" applyFont="1" applyBorder="1" applyAlignment="1" applyProtection="1">
      <alignment horizontal="left" vertical="center" wrapText="1" indent="1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7" fontId="4" fillId="0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1" xfId="0" applyNumberFormat="1" applyFont="1" applyBorder="1" applyAlignment="1" applyProtection="1">
      <alignment horizontal="right" vertical="center"/>
      <protection locked="0"/>
    </xf>
    <xf numFmtId="0" fontId="11" fillId="2" borderId="10" xfId="0" applyFont="1" applyFill="1" applyBorder="1" applyAlignment="1">
      <alignment horizontal="center" vertical="center" wrapText="1"/>
    </xf>
    <xf numFmtId="5" fontId="11" fillId="5" borderId="10" xfId="1" applyNumberFormat="1" applyFont="1" applyFill="1" applyBorder="1" applyAlignment="1" applyProtection="1">
      <alignment vertical="center"/>
      <protection locked="0"/>
    </xf>
    <xf numFmtId="0" fontId="11" fillId="2" borderId="8" xfId="0" applyFont="1" applyFill="1" applyBorder="1" applyAlignment="1">
      <alignment horizontal="center" vertical="center" wrapText="1"/>
    </xf>
    <xf numFmtId="164" fontId="12" fillId="5" borderId="8" xfId="0" applyNumberFormat="1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>
      <alignment horizontal="center" vertical="center" wrapText="1"/>
    </xf>
    <xf numFmtId="166" fontId="11" fillId="5" borderId="14" xfId="1" applyNumberFormat="1" applyFont="1" applyFill="1" applyBorder="1" applyAlignment="1" applyProtection="1">
      <alignment vertical="center"/>
      <protection locked="0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166" fontId="11" fillId="5" borderId="15" xfId="1" applyNumberFormat="1" applyFont="1" applyFill="1" applyBorder="1" applyAlignment="1" applyProtection="1">
      <alignment vertical="center"/>
    </xf>
    <xf numFmtId="0" fontId="17" fillId="3" borderId="16" xfId="0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 wrapText="1"/>
    </xf>
    <xf numFmtId="165" fontId="11" fillId="5" borderId="18" xfId="0" applyNumberFormat="1" applyFont="1" applyFill="1" applyBorder="1" applyAlignment="1">
      <alignment horizontal="left" vertical="center" wrapText="1" indent="1"/>
    </xf>
    <xf numFmtId="165" fontId="5" fillId="4" borderId="1" xfId="0" applyNumberFormat="1" applyFont="1" applyFill="1" applyBorder="1" applyAlignment="1">
      <alignment horizontal="left" vertical="center" wrapText="1" indent="1"/>
    </xf>
    <xf numFmtId="165" fontId="5" fillId="4" borderId="18" xfId="0" applyNumberFormat="1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5" fontId="4" fillId="4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10" xfId="1" applyNumberFormat="1" applyFont="1" applyFill="1" applyBorder="1" applyAlignment="1" applyProtection="1">
      <alignment vertical="center"/>
      <protection locked="0"/>
    </xf>
    <xf numFmtId="166" fontId="5" fillId="0" borderId="15" xfId="1" applyNumberFormat="1" applyFont="1" applyFill="1" applyBorder="1" applyAlignment="1" applyProtection="1">
      <alignment vertical="center"/>
    </xf>
    <xf numFmtId="166" fontId="4" fillId="6" borderId="14" xfId="1" applyNumberFormat="1" applyFont="1" applyFill="1" applyBorder="1" applyAlignment="1" applyProtection="1">
      <alignment horizontal="left" vertical="center"/>
      <protection locked="0"/>
    </xf>
    <xf numFmtId="166" fontId="5" fillId="7" borderId="14" xfId="1" applyNumberFormat="1" applyFont="1" applyFill="1" applyBorder="1" applyAlignment="1" applyProtection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0" fontId="18" fillId="19" borderId="19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left" vertical="center" wrapText="1"/>
    </xf>
    <xf numFmtId="3" fontId="19" fillId="20" borderId="19" xfId="0" applyNumberFormat="1" applyFont="1" applyFill="1" applyBorder="1" applyAlignment="1">
      <alignment horizontal="right" vertical="center"/>
    </xf>
    <xf numFmtId="167" fontId="19" fillId="20" borderId="19" xfId="0" applyNumberFormat="1" applyFont="1" applyFill="1" applyBorder="1" applyAlignment="1">
      <alignment horizontal="center" vertical="center" wrapText="1"/>
    </xf>
    <xf numFmtId="0" fontId="19" fillId="21" borderId="19" xfId="0" applyFont="1" applyFill="1" applyBorder="1" applyAlignment="1">
      <alignment horizontal="center" vertical="center" wrapText="1"/>
    </xf>
    <xf numFmtId="0" fontId="19" fillId="21" borderId="19" xfId="0" applyFont="1" applyFill="1" applyBorder="1" applyAlignment="1">
      <alignment horizontal="left" vertical="center" wrapText="1"/>
    </xf>
    <xf numFmtId="3" fontId="19" fillId="21" borderId="19" xfId="0" applyNumberFormat="1" applyFont="1" applyFill="1" applyBorder="1" applyAlignment="1">
      <alignment horizontal="right" vertical="center"/>
    </xf>
    <xf numFmtId="167" fontId="19" fillId="21" borderId="19" xfId="0" applyNumberFormat="1" applyFont="1" applyFill="1" applyBorder="1" applyAlignment="1">
      <alignment horizontal="center" vertical="center" wrapText="1"/>
    </xf>
    <xf numFmtId="3" fontId="21" fillId="22" borderId="19" xfId="0" applyNumberFormat="1" applyFont="1" applyFill="1" applyBorder="1" applyAlignment="1">
      <alignment horizontal="right" vertical="center"/>
    </xf>
    <xf numFmtId="167" fontId="21" fillId="22" borderId="19" xfId="0" applyNumberFormat="1" applyFont="1" applyFill="1" applyBorder="1" applyAlignment="1">
      <alignment horizontal="right" vertical="center"/>
    </xf>
    <xf numFmtId="0" fontId="22" fillId="0" borderId="20" xfId="0" applyFont="1" applyBorder="1" applyAlignment="1">
      <alignment horizontal="left" vertical="top" wrapText="1"/>
    </xf>
    <xf numFmtId="0" fontId="22" fillId="0" borderId="21" xfId="0" applyFont="1" applyBorder="1" applyAlignment="1">
      <alignment horizontal="left" vertical="top" wrapText="1"/>
    </xf>
    <xf numFmtId="168" fontId="5" fillId="0" borderId="1" xfId="0" applyNumberFormat="1" applyFont="1" applyBorder="1" applyAlignment="1" applyProtection="1">
      <alignment horizontal="left" vertical="center" wrapText="1" indent="1"/>
      <protection locked="0"/>
    </xf>
    <xf numFmtId="44" fontId="0" fillId="0" borderId="0" xfId="1" applyFont="1"/>
    <xf numFmtId="0" fontId="24" fillId="0" borderId="22" xfId="0" applyFont="1" applyBorder="1"/>
    <xf numFmtId="0" fontId="24" fillId="0" borderId="23" xfId="0" applyFont="1" applyBorder="1"/>
    <xf numFmtId="166" fontId="0" fillId="0" borderId="23" xfId="1" applyNumberFormat="1" applyFont="1" applyBorder="1"/>
    <xf numFmtId="0" fontId="24" fillId="0" borderId="24" xfId="0" applyFont="1" applyBorder="1"/>
    <xf numFmtId="0" fontId="24" fillId="0" borderId="25" xfId="0" applyFont="1" applyBorder="1"/>
    <xf numFmtId="0" fontId="0" fillId="0" borderId="26" xfId="0" applyBorder="1"/>
    <xf numFmtId="0" fontId="0" fillId="0" borderId="22" xfId="0" applyBorder="1"/>
    <xf numFmtId="3" fontId="19" fillId="3" borderId="19" xfId="0" applyNumberFormat="1" applyFont="1" applyFill="1" applyBorder="1" applyAlignment="1">
      <alignment horizontal="right" vertical="center"/>
    </xf>
    <xf numFmtId="3" fontId="19" fillId="4" borderId="19" xfId="0" applyNumberFormat="1" applyFont="1" applyFill="1" applyBorder="1" applyAlignment="1">
      <alignment horizontal="right" vertical="center"/>
    </xf>
    <xf numFmtId="167" fontId="19" fillId="4" borderId="19" xfId="0" applyNumberFormat="1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left" vertical="center" wrapText="1"/>
    </xf>
    <xf numFmtId="167" fontId="19" fillId="3" borderId="19" xfId="0" applyNumberFormat="1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0" fillId="0" borderId="27" xfId="0" applyBorder="1"/>
    <xf numFmtId="0" fontId="24" fillId="0" borderId="31" xfId="0" applyFont="1" applyBorder="1" applyAlignment="1">
      <alignment horizontal="center"/>
    </xf>
    <xf numFmtId="44" fontId="0" fillId="0" borderId="22" xfId="1" applyFont="1" applyBorder="1"/>
    <xf numFmtId="44" fontId="24" fillId="0" borderId="22" xfId="1" applyFont="1" applyBorder="1"/>
    <xf numFmtId="0" fontId="0" fillId="0" borderId="0" xfId="0" applyAlignment="1">
      <alignment wrapText="1"/>
    </xf>
    <xf numFmtId="0" fontId="0" fillId="3" borderId="22" xfId="0" applyFill="1" applyBorder="1"/>
    <xf numFmtId="166" fontId="24" fillId="0" borderId="23" xfId="1" applyNumberFormat="1" applyFont="1" applyBorder="1"/>
    <xf numFmtId="0" fontId="24" fillId="0" borderId="27" xfId="0" applyFont="1" applyBorder="1"/>
    <xf numFmtId="0" fontId="24" fillId="0" borderId="0" xfId="0" applyFont="1"/>
    <xf numFmtId="44" fontId="1" fillId="0" borderId="22" xfId="1" applyFont="1" applyBorder="1"/>
    <xf numFmtId="166" fontId="25" fillId="7" borderId="14" xfId="1" applyNumberFormat="1" applyFont="1" applyFill="1" applyBorder="1" applyAlignment="1" applyProtection="1">
      <alignment horizontal="left" vertical="center"/>
    </xf>
    <xf numFmtId="7" fontId="4" fillId="0" borderId="1" xfId="1" applyNumberFormat="1" applyFont="1" applyBorder="1" applyAlignment="1" applyProtection="1">
      <alignment horizontal="right" vertical="center"/>
      <protection locked="0"/>
    </xf>
    <xf numFmtId="166" fontId="11" fillId="5" borderId="15" xfId="1" applyNumberFormat="1" applyFont="1" applyFill="1" applyBorder="1" applyAlignment="1">
      <alignment vertical="center"/>
    </xf>
    <xf numFmtId="3" fontId="26" fillId="3" borderId="19" xfId="0" applyNumberFormat="1" applyFont="1" applyFill="1" applyBorder="1" applyAlignment="1">
      <alignment horizontal="right" vertical="center"/>
    </xf>
    <xf numFmtId="0" fontId="27" fillId="0" borderId="20" xfId="0" applyFont="1" applyBorder="1" applyAlignment="1">
      <alignment horizontal="left" vertical="top" wrapText="1"/>
    </xf>
    <xf numFmtId="0" fontId="28" fillId="0" borderId="22" xfId="0" applyFont="1" applyBorder="1" applyAlignment="1">
      <alignment horizontal="center" vertical="center" wrapText="1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5" fontId="4" fillId="4" borderId="34" xfId="1" applyNumberFormat="1" applyFont="1" applyFill="1" applyBorder="1" applyAlignment="1" applyProtection="1">
      <alignment horizontal="right" vertical="center"/>
      <protection locked="0"/>
    </xf>
    <xf numFmtId="0" fontId="5" fillId="4" borderId="35" xfId="0" applyFont="1" applyFill="1" applyBorder="1" applyAlignment="1">
      <alignment horizontal="left" vertic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7" fontId="4" fillId="0" borderId="1" xfId="1" applyNumberFormat="1" applyFont="1" applyBorder="1" applyAlignment="1" applyProtection="1">
      <alignment horizontal="right" vertical="center" wrapText="1"/>
      <protection locked="0"/>
    </xf>
    <xf numFmtId="0" fontId="20" fillId="22" borderId="19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9" fillId="20" borderId="30" xfId="0" applyFont="1" applyFill="1" applyBorder="1" applyAlignment="1">
      <alignment horizontal="center" vertical="center" wrapText="1"/>
    </xf>
    <xf numFmtId="0" fontId="19" fillId="20" borderId="28" xfId="0" applyFont="1" applyFill="1" applyBorder="1" applyAlignment="1">
      <alignment horizontal="center" vertical="center" wrapText="1"/>
    </xf>
    <xf numFmtId="0" fontId="19" fillId="20" borderId="29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19" fillId="20" borderId="0" xfId="0" applyFont="1" applyFill="1" applyAlignment="1">
      <alignment horizontal="center" vertical="center" wrapText="1"/>
    </xf>
    <xf numFmtId="0" fontId="0" fillId="0" borderId="0" xfId="0" applyAlignment="1"/>
  </cellXfs>
  <cellStyles count="8">
    <cellStyle name="Hipervínculo visitado" xfId="6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2" builtinId="9" hidden="1"/>
    <cellStyle name="Moneda" xfId="1" builtinId="4"/>
    <cellStyle name="Normal" xfId="0" builtinId="0"/>
    <cellStyle name="Normal 2" xfId="7" xr:uid="{096755C3-0BB5-E94E-8E6C-945830891248}"/>
  </cellStyles>
  <dxfs count="27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Q436"/>
  <sheetViews>
    <sheetView showGridLines="0" tabSelected="1" topLeftCell="E1" zoomScale="70" zoomScaleNormal="70" workbookViewId="0">
      <selection activeCell="T1" sqref="T1"/>
    </sheetView>
  </sheetViews>
  <sheetFormatPr defaultColWidth="11" defaultRowHeight="13.15"/>
  <cols>
    <col min="1" max="1" width="3.125" style="4" customWidth="1"/>
    <col min="2" max="2" width="59.375" style="4" bestFit="1" customWidth="1"/>
    <col min="3" max="3" width="41.125" style="4" bestFit="1" customWidth="1"/>
    <col min="4" max="4" width="12" style="4" bestFit="1" customWidth="1"/>
    <col min="5" max="5" width="15.25" style="4" bestFit="1" customWidth="1"/>
    <col min="6" max="6" width="33.25" style="4" bestFit="1" customWidth="1"/>
    <col min="7" max="7" width="32.875" style="4" bestFit="1" customWidth="1"/>
    <col min="8" max="8" width="8.625" style="4" bestFit="1" customWidth="1"/>
    <col min="9" max="9" width="10.375" style="4" bestFit="1" customWidth="1"/>
    <col min="10" max="10" width="14.75" style="4" bestFit="1" customWidth="1"/>
    <col min="11" max="11" width="14.75" style="4" customWidth="1"/>
    <col min="12" max="12" width="8.25" style="4" bestFit="1" customWidth="1"/>
    <col min="13" max="13" width="10.375" style="4" bestFit="1" customWidth="1"/>
    <col min="14" max="14" width="14.5" style="4" bestFit="1" customWidth="1"/>
    <col min="15" max="15" width="21.875" style="4" customWidth="1"/>
    <col min="16" max="16" width="8.5" style="4" bestFit="1" customWidth="1"/>
    <col min="17" max="17" width="11" style="4" bestFit="1" customWidth="1"/>
    <col min="18" max="18" width="11.875" style="4" customWidth="1"/>
    <col min="19" max="19" width="12.25" style="4" bestFit="1" customWidth="1"/>
    <col min="20" max="20" width="11.5" style="4" customWidth="1"/>
    <col min="21" max="21" width="21.875" style="4" bestFit="1" customWidth="1"/>
    <col min="22" max="22" width="3.125" style="4" customWidth="1"/>
    <col min="23" max="23" width="11" style="4"/>
    <col min="24" max="24" width="4.75" style="4" bestFit="1" customWidth="1"/>
    <col min="25" max="25" width="13.75" style="4" bestFit="1" customWidth="1"/>
    <col min="26" max="26" width="13.25" style="4" bestFit="1" customWidth="1"/>
    <col min="27" max="27" width="9.75" style="4" bestFit="1" customWidth="1"/>
    <col min="28" max="16384" width="11" style="4"/>
  </cols>
  <sheetData>
    <row r="1" spans="1:43" ht="45" customHeight="1" thickBot="1">
      <c r="A1" s="3"/>
      <c r="B1" s="34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7"/>
      <c r="R1" s="7"/>
      <c r="S1" s="7"/>
      <c r="T1" s="7"/>
      <c r="U1" s="7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43" s="9" customFormat="1" ht="35.1" customHeight="1">
      <c r="A2" s="8"/>
      <c r="B2" s="39" t="s">
        <v>1</v>
      </c>
      <c r="C2" s="39"/>
      <c r="D2" s="39"/>
      <c r="E2" s="39"/>
      <c r="F2" s="39"/>
      <c r="G2" s="54"/>
      <c r="H2" s="126" t="s">
        <v>2</v>
      </c>
      <c r="I2" s="128"/>
      <c r="J2" s="128"/>
      <c r="K2" s="124" t="s">
        <v>3</v>
      </c>
      <c r="L2" s="125"/>
      <c r="M2" s="125"/>
      <c r="N2" s="126"/>
      <c r="O2" s="124" t="s">
        <v>4</v>
      </c>
      <c r="P2" s="125"/>
      <c r="Q2" s="125"/>
      <c r="R2" s="127"/>
      <c r="S2" s="129" t="s">
        <v>5</v>
      </c>
      <c r="T2" s="125"/>
      <c r="U2" s="130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43" s="9" customFormat="1" ht="35.1" customHeight="1">
      <c r="A3" s="8"/>
      <c r="B3" s="35" t="s">
        <v>6</v>
      </c>
      <c r="C3" s="35" t="s">
        <v>7</v>
      </c>
      <c r="D3" s="35" t="s">
        <v>8</v>
      </c>
      <c r="E3" s="18" t="s">
        <v>9</v>
      </c>
      <c r="F3" s="18" t="s">
        <v>10</v>
      </c>
      <c r="G3" s="55" t="s">
        <v>11</v>
      </c>
      <c r="H3" s="47" t="s">
        <v>12</v>
      </c>
      <c r="I3" s="19" t="s">
        <v>13</v>
      </c>
      <c r="J3" s="19" t="s">
        <v>14</v>
      </c>
      <c r="K3" s="18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45" t="s">
        <v>22</v>
      </c>
      <c r="S3" s="52" t="s">
        <v>23</v>
      </c>
      <c r="T3" s="51" t="s">
        <v>24</v>
      </c>
      <c r="U3" s="49" t="s">
        <v>25</v>
      </c>
      <c r="V3" s="8"/>
      <c r="W3" s="8"/>
      <c r="X3" s="73" t="s">
        <v>26</v>
      </c>
      <c r="Y3" s="73" t="s">
        <v>27</v>
      </c>
      <c r="Z3" s="73" t="s">
        <v>28</v>
      </c>
      <c r="AA3" s="73" t="s">
        <v>29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43" s="9" customFormat="1" ht="30" customHeight="1">
      <c r="A4" s="8"/>
      <c r="B4" s="36" t="s">
        <v>30</v>
      </c>
      <c r="C4" s="36"/>
      <c r="D4" s="36"/>
      <c r="E4" s="57"/>
      <c r="F4" s="57"/>
      <c r="G4" s="58"/>
      <c r="H4" s="58"/>
      <c r="I4" s="59"/>
      <c r="J4" s="60"/>
      <c r="K4" s="120"/>
      <c r="L4" s="60"/>
      <c r="M4" s="60"/>
      <c r="N4" s="60"/>
      <c r="O4" s="60"/>
      <c r="P4" s="60"/>
      <c r="Q4" s="60"/>
      <c r="R4" s="61"/>
      <c r="S4" s="62"/>
      <c r="T4" s="63"/>
      <c r="U4" s="63"/>
      <c r="V4" s="8"/>
      <c r="W4" s="8"/>
      <c r="X4" s="74" t="s">
        <v>31</v>
      </c>
      <c r="Y4" s="75" t="s">
        <v>32</v>
      </c>
      <c r="Z4" s="76">
        <f>'Presupuesto General'!C9</f>
        <v>28792000</v>
      </c>
      <c r="AA4" s="77">
        <f>IF(Z10&lt;&gt;0,Z4/Z10,0)</f>
        <v>0.34246253950222488</v>
      </c>
      <c r="AB4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s="9" customFormat="1" ht="30" customHeight="1">
      <c r="A5" s="8"/>
      <c r="B5" s="84" t="s">
        <v>33</v>
      </c>
      <c r="C5" s="116" t="s">
        <v>34</v>
      </c>
      <c r="D5" s="15" t="s">
        <v>35</v>
      </c>
      <c r="E5" s="41">
        <v>46247</v>
      </c>
      <c r="F5" s="86">
        <v>46247</v>
      </c>
      <c r="G5" s="86">
        <v>46247</v>
      </c>
      <c r="H5" s="64">
        <v>1</v>
      </c>
      <c r="I5" s="113">
        <v>64835</v>
      </c>
      <c r="J5" s="119">
        <f>H5*I5</f>
        <v>64835</v>
      </c>
      <c r="K5" s="121" t="s">
        <v>36</v>
      </c>
      <c r="L5" s="64">
        <v>2</v>
      </c>
      <c r="M5" s="43">
        <v>15000</v>
      </c>
      <c r="N5" s="65">
        <f>M5*L5</f>
        <v>30000</v>
      </c>
      <c r="O5" s="118" t="s">
        <v>37</v>
      </c>
      <c r="P5" s="44">
        <v>0</v>
      </c>
      <c r="Q5" s="122">
        <v>49185</v>
      </c>
      <c r="R5" s="66">
        <v>0</v>
      </c>
      <c r="S5" s="67">
        <v>170000</v>
      </c>
      <c r="T5" s="68">
        <f>J5+N5+P5+Q5+R5</f>
        <v>144020</v>
      </c>
      <c r="U5" s="112">
        <f t="shared" ref="U5:U19" si="0">T5-S5</f>
        <v>-25980</v>
      </c>
      <c r="V5" s="8"/>
      <c r="W5" s="8"/>
      <c r="X5" s="78" t="s">
        <v>38</v>
      </c>
      <c r="Y5" s="79" t="s">
        <v>39</v>
      </c>
      <c r="Z5" s="80">
        <f>'Presupuesto General'!I17</f>
        <v>24698390</v>
      </c>
      <c r="AA5" s="81">
        <f>IF(Z10&lt;&gt;0,Z5/Z10,0)</f>
        <v>0.29377165049376064</v>
      </c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43" s="9" customFormat="1" ht="30" customHeight="1">
      <c r="A6" s="8"/>
      <c r="B6" s="85" t="s">
        <v>40</v>
      </c>
      <c r="C6" s="116" t="s">
        <v>41</v>
      </c>
      <c r="D6" s="15" t="s">
        <v>35</v>
      </c>
      <c r="E6" s="41">
        <v>46247</v>
      </c>
      <c r="F6" s="86">
        <v>46248</v>
      </c>
      <c r="G6" s="86">
        <v>46248</v>
      </c>
      <c r="H6" s="64">
        <v>1.5</v>
      </c>
      <c r="I6" s="43">
        <v>18154</v>
      </c>
      <c r="J6" s="65">
        <f t="shared" ref="J6:J19" si="1">H6*I6</f>
        <v>27231</v>
      </c>
      <c r="K6" s="121" t="s">
        <v>36</v>
      </c>
      <c r="L6" s="64">
        <v>1</v>
      </c>
      <c r="M6" s="43">
        <v>15000</v>
      </c>
      <c r="N6" s="65">
        <f>L6*M6</f>
        <v>15000</v>
      </c>
      <c r="O6" s="42" t="s">
        <v>42</v>
      </c>
      <c r="P6" s="44">
        <v>0</v>
      </c>
      <c r="Q6" s="44">
        <v>14285</v>
      </c>
      <c r="R6" s="66">
        <v>0</v>
      </c>
      <c r="S6" s="67">
        <v>60000</v>
      </c>
      <c r="T6" s="68">
        <f>J6+N6+P6+Q6+R6</f>
        <v>56516</v>
      </c>
      <c r="U6" s="69">
        <f t="shared" si="0"/>
        <v>-3484</v>
      </c>
      <c r="V6" s="8"/>
      <c r="W6" s="8"/>
      <c r="X6" s="74" t="s">
        <v>43</v>
      </c>
      <c r="Y6" s="75" t="s">
        <v>44</v>
      </c>
      <c r="Z6" s="76">
        <f>'Presupuesto General'!P9</f>
        <v>1540000</v>
      </c>
      <c r="AA6" s="77">
        <f>IF(Z10&lt;&gt;0,Z6/Z10,0)</f>
        <v>1.831732115981614E-2</v>
      </c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43" s="9" customFormat="1" ht="30" customHeight="1">
      <c r="A7" s="8"/>
      <c r="B7" s="85" t="s">
        <v>45</v>
      </c>
      <c r="C7" s="116" t="s">
        <v>46</v>
      </c>
      <c r="D7" s="15" t="s">
        <v>35</v>
      </c>
      <c r="E7" s="41">
        <v>46247</v>
      </c>
      <c r="F7" s="86">
        <v>46248</v>
      </c>
      <c r="G7" s="86">
        <v>46248</v>
      </c>
      <c r="H7" s="64">
        <v>1</v>
      </c>
      <c r="I7" s="43">
        <v>33714</v>
      </c>
      <c r="J7" s="65">
        <f t="shared" si="1"/>
        <v>33714</v>
      </c>
      <c r="K7" s="42"/>
      <c r="L7" s="42"/>
      <c r="M7" s="43"/>
      <c r="N7" s="65">
        <f t="shared" ref="N7:N19" si="2">L7*M7</f>
        <v>0</v>
      </c>
      <c r="O7" s="117" t="s">
        <v>47</v>
      </c>
      <c r="P7" s="44">
        <v>0</v>
      </c>
      <c r="Q7" s="113">
        <v>22975.16</v>
      </c>
      <c r="R7" s="66">
        <v>0</v>
      </c>
      <c r="S7" s="67">
        <v>60000</v>
      </c>
      <c r="T7" s="68">
        <f>J7+N7+P7+Q7+R7</f>
        <v>56689.16</v>
      </c>
      <c r="U7" s="69">
        <f t="shared" si="0"/>
        <v>-3310.8399999999965</v>
      </c>
      <c r="V7" s="8"/>
      <c r="W7" s="8"/>
      <c r="X7" s="101" t="s">
        <v>48</v>
      </c>
      <c r="Y7" s="99" t="s">
        <v>49</v>
      </c>
      <c r="Z7" s="95">
        <f>'Presupuesto General'!V7</f>
        <v>16900000</v>
      </c>
      <c r="AA7" s="100">
        <f>IF(Z10&lt;&gt;0,Z7/Z10,0)</f>
        <v>0.20101475818239792</v>
      </c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43" s="9" customFormat="1" ht="30" customHeight="1">
      <c r="A8" s="8"/>
      <c r="B8" s="85" t="s">
        <v>50</v>
      </c>
      <c r="C8" s="116" t="s">
        <v>51</v>
      </c>
      <c r="D8" s="15" t="s">
        <v>35</v>
      </c>
      <c r="E8" s="41">
        <v>46248</v>
      </c>
      <c r="F8" s="86">
        <v>46248</v>
      </c>
      <c r="G8" s="86">
        <v>46248</v>
      </c>
      <c r="H8" s="64">
        <v>2</v>
      </c>
      <c r="I8" s="43">
        <v>28527</v>
      </c>
      <c r="J8" s="65">
        <f t="shared" si="1"/>
        <v>57054</v>
      </c>
      <c r="K8" s="121" t="s">
        <v>36</v>
      </c>
      <c r="L8" s="64">
        <v>1</v>
      </c>
      <c r="M8" s="43">
        <v>15000</v>
      </c>
      <c r="N8" s="65">
        <f t="shared" si="2"/>
        <v>15000</v>
      </c>
      <c r="O8" s="42" t="s">
        <v>52</v>
      </c>
      <c r="P8" s="44">
        <v>0</v>
      </c>
      <c r="Q8" s="44">
        <v>24843.66</v>
      </c>
      <c r="R8" s="66">
        <v>0</v>
      </c>
      <c r="S8" s="67">
        <v>100000</v>
      </c>
      <c r="T8" s="68">
        <f>J8+N8+P8+Q8+R8</f>
        <v>96897.66</v>
      </c>
      <c r="U8" s="69">
        <f t="shared" si="0"/>
        <v>-3102.3399999999965</v>
      </c>
      <c r="V8" s="8"/>
      <c r="W8" s="8"/>
      <c r="X8" s="98" t="s">
        <v>53</v>
      </c>
      <c r="Y8" s="75" t="s">
        <v>54</v>
      </c>
      <c r="Z8" s="96">
        <v>4500000</v>
      </c>
      <c r="AA8" s="97">
        <f>IF(Z10&lt;&gt;0,Z8/Z10,0)</f>
        <v>5.3524639752709505E-2</v>
      </c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43" s="9" customFormat="1" ht="30" customHeight="1">
      <c r="A9" s="8"/>
      <c r="B9" s="85" t="s">
        <v>55</v>
      </c>
      <c r="C9" s="116" t="s">
        <v>56</v>
      </c>
      <c r="D9" s="15" t="s">
        <v>35</v>
      </c>
      <c r="E9" s="41">
        <v>46250</v>
      </c>
      <c r="F9" s="86">
        <v>46251</v>
      </c>
      <c r="G9" s="86">
        <v>46251</v>
      </c>
      <c r="H9" s="64">
        <v>1</v>
      </c>
      <c r="I9" s="43">
        <v>54462</v>
      </c>
      <c r="J9" s="65">
        <f t="shared" si="1"/>
        <v>54462</v>
      </c>
      <c r="K9" s="42" t="s">
        <v>57</v>
      </c>
      <c r="L9" s="42">
        <v>2</v>
      </c>
      <c r="M9" s="43">
        <v>5000</v>
      </c>
      <c r="N9" s="65">
        <f t="shared" si="2"/>
        <v>10000</v>
      </c>
      <c r="O9" s="42" t="s">
        <v>58</v>
      </c>
      <c r="P9" s="44">
        <v>0</v>
      </c>
      <c r="Q9" s="113">
        <v>38000</v>
      </c>
      <c r="R9" s="66">
        <v>0</v>
      </c>
      <c r="S9" s="67">
        <v>100000</v>
      </c>
      <c r="T9" s="68">
        <f t="shared" ref="T9:T19" si="3">J9+N9+P9+Q9+R9</f>
        <v>102462</v>
      </c>
      <c r="U9" s="69">
        <f t="shared" si="0"/>
        <v>2462</v>
      </c>
      <c r="V9" s="8"/>
      <c r="W9" s="8"/>
      <c r="X9" s="101" t="s">
        <v>59</v>
      </c>
      <c r="Y9" s="99" t="s">
        <v>60</v>
      </c>
      <c r="Z9" s="115">
        <f>(SUM(Z4:Z8)*0.1)</f>
        <v>7643039</v>
      </c>
      <c r="AA9" s="100">
        <f>IF(Z10&lt;&gt;0,Z9/Z10,0)</f>
        <v>9.0909090909090912E-2</v>
      </c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43" s="9" customFormat="1" ht="30" customHeight="1">
      <c r="A10" s="8"/>
      <c r="B10" s="85" t="s">
        <v>61</v>
      </c>
      <c r="C10" s="116" t="s">
        <v>62</v>
      </c>
      <c r="D10" s="15" t="s">
        <v>35</v>
      </c>
      <c r="E10" s="41">
        <v>46250</v>
      </c>
      <c r="F10" s="86">
        <v>46251</v>
      </c>
      <c r="G10" s="86">
        <v>46251</v>
      </c>
      <c r="H10" s="64">
        <v>1</v>
      </c>
      <c r="I10" s="43">
        <v>54462</v>
      </c>
      <c r="J10" s="65">
        <f t="shared" si="1"/>
        <v>54462</v>
      </c>
      <c r="K10" s="42"/>
      <c r="L10" s="42"/>
      <c r="M10" s="43"/>
      <c r="N10" s="65">
        <f t="shared" si="2"/>
        <v>0</v>
      </c>
      <c r="O10" s="42" t="s">
        <v>58</v>
      </c>
      <c r="P10" s="44">
        <v>0</v>
      </c>
      <c r="Q10" s="113">
        <v>38000</v>
      </c>
      <c r="R10" s="66">
        <v>0</v>
      </c>
      <c r="S10" s="67">
        <v>90000</v>
      </c>
      <c r="T10" s="68">
        <f t="shared" si="3"/>
        <v>92462</v>
      </c>
      <c r="U10" s="69">
        <f t="shared" si="0"/>
        <v>2462</v>
      </c>
      <c r="V10" s="8"/>
      <c r="W10" s="8"/>
      <c r="X10" s="123" t="s">
        <v>63</v>
      </c>
      <c r="Y10" s="138"/>
      <c r="Z10" s="82">
        <f>SUM(Z4:Z9)</f>
        <v>84073429</v>
      </c>
      <c r="AA10" s="83">
        <f>SUM(AA4:AA9)</f>
        <v>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43" s="9" customFormat="1" ht="30" customHeight="1">
      <c r="A11" s="8"/>
      <c r="B11" s="85" t="s">
        <v>64</v>
      </c>
      <c r="C11" s="116" t="s">
        <v>65</v>
      </c>
      <c r="D11" s="15" t="s">
        <v>35</v>
      </c>
      <c r="E11" s="41">
        <v>46250</v>
      </c>
      <c r="F11" s="86">
        <v>46251</v>
      </c>
      <c r="G11" s="86">
        <v>46251</v>
      </c>
      <c r="H11" s="64">
        <v>2</v>
      </c>
      <c r="I11" s="43">
        <v>54462</v>
      </c>
      <c r="J11" s="65">
        <f t="shared" si="1"/>
        <v>108924</v>
      </c>
      <c r="K11" s="121" t="s">
        <v>36</v>
      </c>
      <c r="L11" s="64">
        <v>1</v>
      </c>
      <c r="M11" s="43">
        <v>15000</v>
      </c>
      <c r="N11" s="65">
        <f t="shared" si="2"/>
        <v>15000</v>
      </c>
      <c r="O11" s="42" t="s">
        <v>58</v>
      </c>
      <c r="P11" s="44">
        <v>0</v>
      </c>
      <c r="Q11" s="67">
        <v>38000</v>
      </c>
      <c r="R11" s="66">
        <v>0</v>
      </c>
      <c r="S11" s="67">
        <v>160000</v>
      </c>
      <c r="T11" s="68">
        <f t="shared" si="3"/>
        <v>161924</v>
      </c>
      <c r="U11" s="69">
        <f t="shared" si="0"/>
        <v>1924</v>
      </c>
      <c r="V11" s="8"/>
      <c r="W11" s="8"/>
      <c r="AB11"/>
      <c r="AC11" s="8"/>
      <c r="AD11" s="8"/>
      <c r="AE11" s="8"/>
      <c r="AF11" s="8"/>
      <c r="AG11" s="8"/>
      <c r="AH11" s="8"/>
      <c r="AI11" s="8"/>
      <c r="AJ11" s="8"/>
      <c r="AK11" s="8"/>
    </row>
    <row r="12" spans="1:43" s="9" customFormat="1" ht="30" customHeight="1">
      <c r="A12" s="8"/>
      <c r="B12" s="85" t="s">
        <v>66</v>
      </c>
      <c r="C12" s="116" t="s">
        <v>67</v>
      </c>
      <c r="D12" s="15" t="s">
        <v>35</v>
      </c>
      <c r="E12" s="41">
        <v>46251</v>
      </c>
      <c r="F12" s="86">
        <v>46252</v>
      </c>
      <c r="G12" s="86">
        <v>46253</v>
      </c>
      <c r="H12" s="64">
        <v>7</v>
      </c>
      <c r="I12" s="113">
        <v>18154</v>
      </c>
      <c r="J12" s="65">
        <f t="shared" si="1"/>
        <v>127078</v>
      </c>
      <c r="K12" s="42" t="s">
        <v>57</v>
      </c>
      <c r="L12" s="42">
        <v>2</v>
      </c>
      <c r="M12" s="43">
        <v>5000</v>
      </c>
      <c r="N12" s="65">
        <f t="shared" si="2"/>
        <v>10000</v>
      </c>
      <c r="O12" s="42" t="s">
        <v>42</v>
      </c>
      <c r="P12" s="44">
        <v>0</v>
      </c>
      <c r="Q12" s="67">
        <v>14285.09</v>
      </c>
      <c r="R12" s="66">
        <v>0</v>
      </c>
      <c r="S12" s="67">
        <v>160000</v>
      </c>
      <c r="T12" s="68">
        <f t="shared" si="3"/>
        <v>151363.09</v>
      </c>
      <c r="U12" s="69">
        <f t="shared" si="0"/>
        <v>-8636.9100000000035</v>
      </c>
      <c r="V12" s="8"/>
      <c r="W12" s="8"/>
      <c r="AB12"/>
      <c r="AC12" s="8"/>
      <c r="AD12" s="8"/>
      <c r="AE12" s="8"/>
      <c r="AF12" s="8"/>
      <c r="AG12" s="8"/>
      <c r="AH12" s="8"/>
      <c r="AI12" s="8"/>
      <c r="AJ12" s="8"/>
      <c r="AK12" s="8"/>
    </row>
    <row r="13" spans="1:43" s="9" customFormat="1" ht="30" customHeight="1">
      <c r="A13" s="8"/>
      <c r="B13" s="85" t="s">
        <v>68</v>
      </c>
      <c r="C13" s="116" t="s">
        <v>69</v>
      </c>
      <c r="D13" s="15" t="s">
        <v>35</v>
      </c>
      <c r="E13" s="41">
        <v>46253</v>
      </c>
      <c r="F13" s="86">
        <v>46253</v>
      </c>
      <c r="G13" s="86">
        <v>46253</v>
      </c>
      <c r="H13" s="64">
        <v>2</v>
      </c>
      <c r="I13" s="113">
        <v>23341</v>
      </c>
      <c r="J13" s="65">
        <f t="shared" si="1"/>
        <v>46682</v>
      </c>
      <c r="K13" s="42" t="s">
        <v>57</v>
      </c>
      <c r="L13" s="42">
        <v>1</v>
      </c>
      <c r="M13" s="43">
        <v>5000</v>
      </c>
      <c r="N13" s="65">
        <f t="shared" si="2"/>
        <v>5000</v>
      </c>
      <c r="O13" s="118" t="s">
        <v>70</v>
      </c>
      <c r="P13" s="44">
        <v>0</v>
      </c>
      <c r="Q13" s="44">
        <v>14285.09</v>
      </c>
      <c r="R13" s="66">
        <v>0</v>
      </c>
      <c r="S13" s="67">
        <v>70000</v>
      </c>
      <c r="T13" s="68">
        <f t="shared" si="3"/>
        <v>65967.09</v>
      </c>
      <c r="U13" s="69">
        <f t="shared" si="0"/>
        <v>-4032.9100000000035</v>
      </c>
      <c r="V13" s="8"/>
      <c r="W13" s="8"/>
      <c r="AB13"/>
      <c r="AC13" s="8"/>
      <c r="AD13" s="8"/>
      <c r="AE13" s="8"/>
      <c r="AF13" s="8"/>
      <c r="AG13" s="8"/>
      <c r="AH13" s="8"/>
      <c r="AI13" s="8"/>
      <c r="AJ13" s="8"/>
      <c r="AK13" s="8"/>
    </row>
    <row r="14" spans="1:43" s="9" customFormat="1" ht="30" customHeight="1">
      <c r="A14" s="8"/>
      <c r="B14" s="85" t="s">
        <v>71</v>
      </c>
      <c r="C14" s="116" t="s">
        <v>72</v>
      </c>
      <c r="D14" s="15" t="s">
        <v>35</v>
      </c>
      <c r="E14" s="41">
        <v>46253</v>
      </c>
      <c r="F14" s="86">
        <v>46253</v>
      </c>
      <c r="G14" s="86">
        <v>46253</v>
      </c>
      <c r="H14" s="64">
        <v>2</v>
      </c>
      <c r="I14" s="43">
        <v>23341</v>
      </c>
      <c r="J14" s="65">
        <f t="shared" si="1"/>
        <v>46682</v>
      </c>
      <c r="K14" s="42" t="s">
        <v>57</v>
      </c>
      <c r="L14" s="42">
        <v>1</v>
      </c>
      <c r="M14" s="43">
        <v>5000</v>
      </c>
      <c r="N14" s="65">
        <f t="shared" si="2"/>
        <v>5000</v>
      </c>
      <c r="O14" s="118" t="s">
        <v>70</v>
      </c>
      <c r="P14" s="44">
        <v>0</v>
      </c>
      <c r="Q14" s="44">
        <v>14285.09</v>
      </c>
      <c r="R14" s="66">
        <v>0</v>
      </c>
      <c r="S14" s="67">
        <v>70000</v>
      </c>
      <c r="T14" s="68">
        <f t="shared" ref="T14" si="4">J14+N14+P14+Q14+R14</f>
        <v>65967.09</v>
      </c>
      <c r="U14" s="69">
        <f t="shared" si="0"/>
        <v>-4032.9100000000035</v>
      </c>
      <c r="V14" s="8"/>
      <c r="W14" s="8"/>
      <c r="AB14"/>
      <c r="AC14" s="8"/>
      <c r="AD14" s="8"/>
      <c r="AE14" s="8"/>
      <c r="AF14" s="8"/>
      <c r="AG14" s="8"/>
      <c r="AH14" s="8"/>
      <c r="AI14" s="8"/>
      <c r="AJ14" s="8"/>
      <c r="AK14" s="8"/>
    </row>
    <row r="15" spans="1:43" s="9" customFormat="1" ht="30" customHeight="1">
      <c r="A15" s="8"/>
      <c r="B15" s="85" t="s">
        <v>73</v>
      </c>
      <c r="C15" s="116" t="s">
        <v>74</v>
      </c>
      <c r="D15" s="15" t="s">
        <v>35</v>
      </c>
      <c r="E15" s="41">
        <v>46254</v>
      </c>
      <c r="F15" s="86">
        <v>46254</v>
      </c>
      <c r="G15" s="86">
        <v>46254</v>
      </c>
      <c r="H15" s="64">
        <v>2</v>
      </c>
      <c r="I15" s="43">
        <v>23341</v>
      </c>
      <c r="J15" s="65">
        <f t="shared" si="1"/>
        <v>46682</v>
      </c>
      <c r="K15" s="121" t="s">
        <v>36</v>
      </c>
      <c r="L15" s="64">
        <v>1</v>
      </c>
      <c r="M15" s="43">
        <v>15000</v>
      </c>
      <c r="N15" s="65">
        <f t="shared" si="2"/>
        <v>15000</v>
      </c>
      <c r="O15" s="42" t="s">
        <v>75</v>
      </c>
      <c r="P15" s="44">
        <v>0</v>
      </c>
      <c r="Q15" s="44">
        <v>14285.09</v>
      </c>
      <c r="R15" s="66">
        <v>0</v>
      </c>
      <c r="S15" s="67">
        <v>80000</v>
      </c>
      <c r="T15" s="68">
        <f t="shared" si="3"/>
        <v>75967.09</v>
      </c>
      <c r="U15" s="69">
        <f t="shared" si="0"/>
        <v>-4032.9100000000035</v>
      </c>
      <c r="V15" s="8"/>
      <c r="W15" s="8"/>
      <c r="AB15"/>
      <c r="AC15" s="8"/>
      <c r="AD15" s="8"/>
      <c r="AE15" s="8"/>
      <c r="AF15" s="8"/>
      <c r="AG15" s="8"/>
      <c r="AH15" s="8"/>
      <c r="AI15" s="8"/>
      <c r="AJ15" s="8"/>
      <c r="AK15" s="8"/>
    </row>
    <row r="16" spans="1:43" s="9" customFormat="1" ht="30" customHeight="1">
      <c r="A16" s="8"/>
      <c r="B16" s="85" t="s">
        <v>76</v>
      </c>
      <c r="C16" s="116" t="s">
        <v>77</v>
      </c>
      <c r="D16" s="15" t="s">
        <v>35</v>
      </c>
      <c r="E16" s="41">
        <v>46254</v>
      </c>
      <c r="F16" s="86">
        <v>46254</v>
      </c>
      <c r="G16" s="86">
        <v>46254</v>
      </c>
      <c r="H16" s="64">
        <v>2</v>
      </c>
      <c r="I16" s="43">
        <v>23341</v>
      </c>
      <c r="J16" s="65">
        <f t="shared" si="1"/>
        <v>46682</v>
      </c>
      <c r="K16" s="121" t="s">
        <v>36</v>
      </c>
      <c r="L16" s="64">
        <v>1</v>
      </c>
      <c r="M16" s="43">
        <v>15000</v>
      </c>
      <c r="N16" s="65">
        <f t="shared" si="2"/>
        <v>15000</v>
      </c>
      <c r="O16" s="118" t="s">
        <v>70</v>
      </c>
      <c r="P16" s="44">
        <v>0</v>
      </c>
      <c r="Q16" s="44">
        <v>14285.09</v>
      </c>
      <c r="R16" s="66">
        <v>0</v>
      </c>
      <c r="S16" s="67">
        <v>80000</v>
      </c>
      <c r="T16" s="68">
        <f t="shared" si="3"/>
        <v>75967.09</v>
      </c>
      <c r="U16" s="69">
        <f t="shared" si="0"/>
        <v>-4032.9100000000035</v>
      </c>
      <c r="V16" s="8"/>
      <c r="W16" s="8"/>
      <c r="AB16"/>
      <c r="AC16" s="8"/>
      <c r="AD16" s="8"/>
      <c r="AE16" s="8"/>
      <c r="AF16" s="8"/>
      <c r="AG16" s="8"/>
      <c r="AH16" s="8"/>
      <c r="AI16" s="8"/>
      <c r="AJ16" s="8"/>
      <c r="AK16" s="8"/>
    </row>
    <row r="17" spans="1:43" s="9" customFormat="1" ht="30" customHeight="1">
      <c r="A17" s="8"/>
      <c r="B17" s="85" t="s">
        <v>78</v>
      </c>
      <c r="C17" s="116" t="s">
        <v>79</v>
      </c>
      <c r="D17" s="15" t="s">
        <v>35</v>
      </c>
      <c r="E17" s="41">
        <v>46254</v>
      </c>
      <c r="F17" s="86">
        <v>46254</v>
      </c>
      <c r="G17" s="86">
        <v>46254</v>
      </c>
      <c r="H17" s="64">
        <v>1</v>
      </c>
      <c r="I17" s="43">
        <v>23341</v>
      </c>
      <c r="J17" s="65">
        <f t="shared" si="1"/>
        <v>23341</v>
      </c>
      <c r="K17" s="121" t="s">
        <v>36</v>
      </c>
      <c r="L17" s="64">
        <v>1</v>
      </c>
      <c r="M17" s="43">
        <v>15000</v>
      </c>
      <c r="N17" s="65">
        <f t="shared" si="2"/>
        <v>15000</v>
      </c>
      <c r="O17" s="42" t="s">
        <v>42</v>
      </c>
      <c r="P17" s="44">
        <v>0</v>
      </c>
      <c r="Q17" s="44">
        <v>14285.09</v>
      </c>
      <c r="R17" s="66">
        <v>0</v>
      </c>
      <c r="S17" s="67">
        <v>60000</v>
      </c>
      <c r="T17" s="68">
        <f t="shared" si="3"/>
        <v>52626.09</v>
      </c>
      <c r="U17" s="69">
        <f t="shared" si="0"/>
        <v>-7373.9100000000035</v>
      </c>
      <c r="V17" s="8"/>
      <c r="W17" s="8"/>
      <c r="AB17"/>
      <c r="AC17" s="8"/>
      <c r="AD17" s="8"/>
      <c r="AE17" s="8"/>
      <c r="AF17" s="8"/>
      <c r="AG17" s="8"/>
      <c r="AH17" s="8"/>
      <c r="AI17" s="8"/>
      <c r="AJ17" s="8"/>
      <c r="AK17" s="8"/>
    </row>
    <row r="18" spans="1:43" s="9" customFormat="1" ht="30" customHeight="1">
      <c r="A18" s="8"/>
      <c r="B18" s="85" t="s">
        <v>80</v>
      </c>
      <c r="C18" s="116" t="s">
        <v>81</v>
      </c>
      <c r="D18" s="15" t="s">
        <v>35</v>
      </c>
      <c r="E18" s="41">
        <v>46254</v>
      </c>
      <c r="F18" s="86">
        <v>46254</v>
      </c>
      <c r="G18" s="86">
        <v>46255</v>
      </c>
      <c r="H18" s="64">
        <v>1</v>
      </c>
      <c r="I18" s="43">
        <v>18154</v>
      </c>
      <c r="J18" s="65">
        <f t="shared" si="1"/>
        <v>18154</v>
      </c>
      <c r="K18" s="42" t="s">
        <v>57</v>
      </c>
      <c r="L18" s="42">
        <v>1</v>
      </c>
      <c r="M18" s="43">
        <v>5000</v>
      </c>
      <c r="N18" s="65">
        <f t="shared" si="2"/>
        <v>5000</v>
      </c>
      <c r="O18" s="42" t="s">
        <v>42</v>
      </c>
      <c r="P18" s="44">
        <v>0</v>
      </c>
      <c r="Q18" s="44">
        <v>14285</v>
      </c>
      <c r="R18" s="66">
        <v>0</v>
      </c>
      <c r="S18" s="67">
        <v>45000</v>
      </c>
      <c r="T18" s="68">
        <f t="shared" si="3"/>
        <v>37439</v>
      </c>
      <c r="U18" s="69">
        <f t="shared" si="0"/>
        <v>-7561</v>
      </c>
      <c r="V18" s="8"/>
      <c r="W18" s="8"/>
      <c r="AB18"/>
      <c r="AC18" s="8"/>
      <c r="AD18" s="8"/>
      <c r="AE18" s="8"/>
      <c r="AF18" s="8"/>
      <c r="AG18" s="8"/>
      <c r="AH18" s="8"/>
      <c r="AI18" s="8"/>
      <c r="AJ18" s="8"/>
      <c r="AK18" s="8"/>
    </row>
    <row r="19" spans="1:43" s="9" customFormat="1" ht="30" customHeight="1">
      <c r="A19" s="8"/>
      <c r="B19" s="85" t="s">
        <v>82</v>
      </c>
      <c r="C19" s="116" t="s">
        <v>83</v>
      </c>
      <c r="D19" s="15" t="s">
        <v>35</v>
      </c>
      <c r="E19" s="41">
        <v>46254</v>
      </c>
      <c r="F19" s="86">
        <v>46254</v>
      </c>
      <c r="G19" s="86">
        <v>46255</v>
      </c>
      <c r="H19" s="64">
        <v>1</v>
      </c>
      <c r="I19" s="43">
        <v>18154</v>
      </c>
      <c r="J19" s="65">
        <f t="shared" si="1"/>
        <v>18154</v>
      </c>
      <c r="K19" s="42"/>
      <c r="L19" s="42"/>
      <c r="M19" s="43"/>
      <c r="N19" s="65">
        <f t="shared" si="2"/>
        <v>0</v>
      </c>
      <c r="O19" s="42" t="s">
        <v>42</v>
      </c>
      <c r="P19" s="44">
        <v>0</v>
      </c>
      <c r="Q19" s="44">
        <v>14285</v>
      </c>
      <c r="R19" s="66">
        <v>0</v>
      </c>
      <c r="S19" s="67">
        <v>40000</v>
      </c>
      <c r="T19" s="68">
        <f t="shared" si="3"/>
        <v>32439</v>
      </c>
      <c r="U19" s="69">
        <f t="shared" si="0"/>
        <v>-7561</v>
      </c>
      <c r="V19" s="8"/>
      <c r="W19" s="8"/>
      <c r="AB19"/>
      <c r="AC19" s="8"/>
      <c r="AD19" s="8"/>
      <c r="AE19" s="8"/>
      <c r="AF19" s="8"/>
      <c r="AG19" s="8"/>
      <c r="AH19" s="8"/>
      <c r="AI19" s="8"/>
      <c r="AJ19" s="8"/>
      <c r="AK19" s="8"/>
    </row>
    <row r="20" spans="1:43" s="9" customFormat="1" ht="30" customHeight="1">
      <c r="A20" s="8"/>
      <c r="B20" s="85" t="s">
        <v>84</v>
      </c>
      <c r="C20" s="116" t="s">
        <v>85</v>
      </c>
      <c r="D20" s="15" t="s">
        <v>35</v>
      </c>
      <c r="E20" s="41">
        <v>46254</v>
      </c>
      <c r="F20" s="86">
        <v>46254</v>
      </c>
      <c r="G20" s="86">
        <v>46255</v>
      </c>
      <c r="H20" s="64">
        <v>1</v>
      </c>
      <c r="I20" s="43">
        <v>18154</v>
      </c>
      <c r="J20" s="65">
        <f>H20*I20</f>
        <v>18154</v>
      </c>
      <c r="K20" s="42"/>
      <c r="L20" s="42"/>
      <c r="M20" s="43"/>
      <c r="N20" s="65">
        <f>L20*M20</f>
        <v>0</v>
      </c>
      <c r="O20" s="42" t="s">
        <v>42</v>
      </c>
      <c r="P20" s="44">
        <v>0</v>
      </c>
      <c r="Q20" s="44">
        <v>14285</v>
      </c>
      <c r="R20" s="66">
        <v>0</v>
      </c>
      <c r="S20" s="67">
        <v>40000</v>
      </c>
      <c r="T20" s="68">
        <f>J20+N20+P20+Q20+R20</f>
        <v>32439</v>
      </c>
      <c r="U20" s="69">
        <f t="shared" ref="U20:U45" si="5">T20-S20</f>
        <v>-7561</v>
      </c>
      <c r="V20" s="8"/>
      <c r="W20" s="8"/>
      <c r="AB20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s="9" customFormat="1" ht="30" customHeight="1">
      <c r="A21" s="8"/>
      <c r="B21" s="85" t="s">
        <v>86</v>
      </c>
      <c r="C21" s="116" t="s">
        <v>87</v>
      </c>
      <c r="D21" s="15" t="s">
        <v>35</v>
      </c>
      <c r="E21" s="41">
        <v>46254</v>
      </c>
      <c r="F21" s="86">
        <v>46254</v>
      </c>
      <c r="G21" s="86">
        <v>46255</v>
      </c>
      <c r="H21" s="64">
        <v>1</v>
      </c>
      <c r="I21" s="43">
        <v>18154</v>
      </c>
      <c r="J21" s="65">
        <f t="shared" ref="J21:J45" si="6">H21*I21</f>
        <v>18154</v>
      </c>
      <c r="K21" s="121"/>
      <c r="L21" s="64"/>
      <c r="M21" s="43"/>
      <c r="N21" s="65">
        <f t="shared" ref="N21:N45" si="7">L21*M21</f>
        <v>0</v>
      </c>
      <c r="O21" s="42" t="s">
        <v>42</v>
      </c>
      <c r="P21" s="44">
        <v>0</v>
      </c>
      <c r="Q21" s="44">
        <v>14285</v>
      </c>
      <c r="R21" s="66">
        <v>0</v>
      </c>
      <c r="S21" s="67">
        <v>40000</v>
      </c>
      <c r="T21" s="68">
        <f t="shared" ref="T21:T45" si="8">J21+N21+P21+Q21+R21</f>
        <v>32439</v>
      </c>
      <c r="U21" s="69">
        <f t="shared" si="5"/>
        <v>-7561</v>
      </c>
      <c r="V21" s="8"/>
      <c r="W21" s="8"/>
      <c r="AB21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s="9" customFormat="1" ht="30" customHeight="1">
      <c r="A22" s="8"/>
      <c r="B22" s="85" t="s">
        <v>88</v>
      </c>
      <c r="C22" s="116" t="s">
        <v>89</v>
      </c>
      <c r="D22" s="15" t="s">
        <v>35</v>
      </c>
      <c r="E22" s="41">
        <v>46255</v>
      </c>
      <c r="F22" s="86">
        <v>46258</v>
      </c>
      <c r="G22" s="86">
        <v>46259</v>
      </c>
      <c r="H22" s="64">
        <v>2</v>
      </c>
      <c r="I22" s="43">
        <v>57055</v>
      </c>
      <c r="J22" s="65">
        <f>H22*I22</f>
        <v>114110</v>
      </c>
      <c r="K22" s="121" t="s">
        <v>36</v>
      </c>
      <c r="L22" s="64">
        <v>2</v>
      </c>
      <c r="M22" s="43">
        <v>15000</v>
      </c>
      <c r="N22" s="65">
        <f t="shared" si="7"/>
        <v>30000</v>
      </c>
      <c r="O22" s="42" t="s">
        <v>90</v>
      </c>
      <c r="P22" s="44">
        <v>0</v>
      </c>
      <c r="Q22" s="44">
        <v>40365</v>
      </c>
      <c r="R22" s="66">
        <v>0</v>
      </c>
      <c r="S22" s="67">
        <v>180000</v>
      </c>
      <c r="T22" s="68">
        <f t="shared" si="8"/>
        <v>184475</v>
      </c>
      <c r="U22" s="69">
        <f t="shared" si="5"/>
        <v>4475</v>
      </c>
      <c r="V22" s="8"/>
      <c r="W22" s="8"/>
      <c r="AB2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s="9" customFormat="1" ht="30" customHeight="1">
      <c r="A23" s="8"/>
      <c r="B23" s="85" t="s">
        <v>91</v>
      </c>
      <c r="C23" s="116" t="s">
        <v>92</v>
      </c>
      <c r="D23" s="15" t="s">
        <v>35</v>
      </c>
      <c r="E23" s="41">
        <v>46247</v>
      </c>
      <c r="F23" s="86">
        <v>46247</v>
      </c>
      <c r="G23" s="86">
        <v>46247</v>
      </c>
      <c r="H23" s="64">
        <v>1</v>
      </c>
      <c r="I23" s="43">
        <v>33714</v>
      </c>
      <c r="J23" s="65">
        <f t="shared" si="6"/>
        <v>33714</v>
      </c>
      <c r="K23" s="42" t="s">
        <v>57</v>
      </c>
      <c r="L23" s="42">
        <v>1</v>
      </c>
      <c r="M23" s="43">
        <v>5000</v>
      </c>
      <c r="N23" s="65">
        <f t="shared" si="7"/>
        <v>5000</v>
      </c>
      <c r="O23" s="42" t="s">
        <v>93</v>
      </c>
      <c r="P23" s="44">
        <v>0</v>
      </c>
      <c r="Q23" s="44">
        <v>29061</v>
      </c>
      <c r="R23" s="66">
        <v>0</v>
      </c>
      <c r="S23" s="67">
        <v>70000</v>
      </c>
      <c r="T23" s="68">
        <f>J23+N23+P23+Q23+R23</f>
        <v>67775</v>
      </c>
      <c r="U23" s="69">
        <f t="shared" si="5"/>
        <v>-2225</v>
      </c>
      <c r="V23" s="8"/>
      <c r="W23" s="8"/>
      <c r="AB23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s="9" customFormat="1" ht="30" customHeight="1">
      <c r="A24" s="8"/>
      <c r="B24" s="85" t="s">
        <v>94</v>
      </c>
      <c r="C24" s="116" t="s">
        <v>95</v>
      </c>
      <c r="D24" s="15" t="s">
        <v>96</v>
      </c>
      <c r="E24" s="41">
        <v>46257</v>
      </c>
      <c r="F24" s="86">
        <v>46259</v>
      </c>
      <c r="G24" s="86">
        <v>46260</v>
      </c>
      <c r="H24" s="64">
        <v>1</v>
      </c>
      <c r="I24" s="113">
        <v>31121</v>
      </c>
      <c r="J24" s="65">
        <f t="shared" si="6"/>
        <v>31121</v>
      </c>
      <c r="K24" s="42" t="s">
        <v>57</v>
      </c>
      <c r="L24" s="42">
        <v>1</v>
      </c>
      <c r="M24" s="43">
        <v>5000</v>
      </c>
      <c r="N24" s="65">
        <v>0</v>
      </c>
      <c r="O24" s="42" t="s">
        <v>97</v>
      </c>
      <c r="P24" s="44">
        <v>0</v>
      </c>
      <c r="Q24" s="44">
        <v>23105</v>
      </c>
      <c r="R24" s="66">
        <v>0</v>
      </c>
      <c r="S24" s="67">
        <v>60000</v>
      </c>
      <c r="T24" s="68">
        <f>J24+N24+P24+Q24+R24</f>
        <v>54226</v>
      </c>
      <c r="U24" s="69">
        <f>T24-S24</f>
        <v>-5774</v>
      </c>
      <c r="V24" s="8"/>
      <c r="W24" s="8"/>
      <c r="AB24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s="9" customFormat="1" ht="30" customHeight="1">
      <c r="A25" s="8"/>
      <c r="B25" s="85" t="s">
        <v>98</v>
      </c>
      <c r="C25" s="116" t="s">
        <v>99</v>
      </c>
      <c r="D25" s="15" t="s">
        <v>100</v>
      </c>
      <c r="E25" s="41">
        <v>46267</v>
      </c>
      <c r="F25" s="86"/>
      <c r="G25" s="86"/>
      <c r="H25" s="64">
        <v>4</v>
      </c>
      <c r="I25" s="43"/>
      <c r="J25" s="65">
        <f t="shared" ref="J25:J30" si="9">H25*I25</f>
        <v>0</v>
      </c>
      <c r="K25" s="42"/>
      <c r="L25" s="42"/>
      <c r="M25" s="43"/>
      <c r="N25" s="65">
        <f t="shared" ref="N25:N30" si="10">L25*M25</f>
        <v>0</v>
      </c>
      <c r="O25" s="42"/>
      <c r="P25" s="44">
        <v>0</v>
      </c>
      <c r="Q25" s="44"/>
      <c r="R25" s="66">
        <v>0</v>
      </c>
      <c r="S25" s="67"/>
      <c r="T25" s="68">
        <f t="shared" ref="T25:T30" si="11">J25+N25+P25+Q25+R25</f>
        <v>0</v>
      </c>
      <c r="U25" s="69">
        <f t="shared" ref="U25:U30" si="12">T25-S25</f>
        <v>0</v>
      </c>
      <c r="V25" s="8"/>
      <c r="W25" s="8"/>
      <c r="AB2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s="9" customFormat="1" ht="30" customHeight="1">
      <c r="A26" s="8"/>
      <c r="B26" s="85" t="s">
        <v>101</v>
      </c>
      <c r="C26" s="116" t="s">
        <v>102</v>
      </c>
      <c r="D26" s="15" t="s">
        <v>100</v>
      </c>
      <c r="E26" s="41">
        <v>46273</v>
      </c>
      <c r="F26" s="86"/>
      <c r="G26" s="86"/>
      <c r="H26" s="64">
        <v>3</v>
      </c>
      <c r="I26" s="43"/>
      <c r="J26" s="65">
        <f t="shared" si="9"/>
        <v>0</v>
      </c>
      <c r="K26" s="42"/>
      <c r="L26" s="42"/>
      <c r="M26" s="43"/>
      <c r="N26" s="65">
        <f t="shared" si="10"/>
        <v>0</v>
      </c>
      <c r="O26" s="42"/>
      <c r="P26" s="44">
        <v>0</v>
      </c>
      <c r="Q26" s="44"/>
      <c r="R26" s="66">
        <v>0</v>
      </c>
      <c r="S26" s="67"/>
      <c r="T26" s="68">
        <f t="shared" si="11"/>
        <v>0</v>
      </c>
      <c r="U26" s="69">
        <f t="shared" si="12"/>
        <v>0</v>
      </c>
      <c r="V26" s="8"/>
      <c r="W26" s="8"/>
      <c r="AB26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s="9" customFormat="1" ht="30" customHeight="1">
      <c r="A27" s="8"/>
      <c r="B27" s="85" t="s">
        <v>103</v>
      </c>
      <c r="C27" s="116" t="s">
        <v>104</v>
      </c>
      <c r="D27" s="15" t="s">
        <v>100</v>
      </c>
      <c r="E27" s="41">
        <v>46273</v>
      </c>
      <c r="F27" s="86"/>
      <c r="G27" s="86"/>
      <c r="H27" s="64">
        <v>5</v>
      </c>
      <c r="I27" s="43"/>
      <c r="J27" s="65">
        <f t="shared" si="9"/>
        <v>0</v>
      </c>
      <c r="K27" s="42"/>
      <c r="L27" s="42"/>
      <c r="M27" s="43"/>
      <c r="N27" s="65">
        <f t="shared" si="10"/>
        <v>0</v>
      </c>
      <c r="O27" s="42"/>
      <c r="P27" s="44">
        <v>0</v>
      </c>
      <c r="Q27" s="44"/>
      <c r="R27" s="66">
        <v>0</v>
      </c>
      <c r="S27" s="67"/>
      <c r="T27" s="68">
        <f t="shared" si="11"/>
        <v>0</v>
      </c>
      <c r="U27" s="69">
        <f t="shared" si="12"/>
        <v>0</v>
      </c>
      <c r="V27" s="8"/>
      <c r="W27" s="8"/>
      <c r="AB27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s="9" customFormat="1" ht="30" customHeight="1">
      <c r="A28" s="8"/>
      <c r="B28" s="85" t="s">
        <v>105</v>
      </c>
      <c r="C28" s="116" t="s">
        <v>106</v>
      </c>
      <c r="D28" s="15" t="s">
        <v>100</v>
      </c>
      <c r="E28" s="41">
        <v>46273</v>
      </c>
      <c r="F28" s="86"/>
      <c r="G28" s="86"/>
      <c r="H28" s="64">
        <v>3</v>
      </c>
      <c r="I28" s="43"/>
      <c r="J28" s="65">
        <f t="shared" si="9"/>
        <v>0</v>
      </c>
      <c r="K28" s="42"/>
      <c r="L28" s="42"/>
      <c r="M28" s="43"/>
      <c r="N28" s="65">
        <f t="shared" si="10"/>
        <v>0</v>
      </c>
      <c r="O28" s="42"/>
      <c r="P28" s="44">
        <v>0</v>
      </c>
      <c r="Q28" s="44"/>
      <c r="R28" s="66">
        <v>0</v>
      </c>
      <c r="S28" s="67"/>
      <c r="T28" s="68">
        <f t="shared" si="11"/>
        <v>0</v>
      </c>
      <c r="U28" s="69">
        <f t="shared" si="12"/>
        <v>0</v>
      </c>
      <c r="V28" s="8"/>
      <c r="W28" s="8"/>
      <c r="AB2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s="9" customFormat="1" ht="30" customHeight="1">
      <c r="A29" s="8"/>
      <c r="B29" s="84" t="s">
        <v>107</v>
      </c>
      <c r="C29" s="116" t="s">
        <v>108</v>
      </c>
      <c r="D29" s="15" t="s">
        <v>100</v>
      </c>
      <c r="E29" s="41">
        <v>46273</v>
      </c>
      <c r="F29" s="86"/>
      <c r="G29" s="86"/>
      <c r="H29" s="64">
        <v>2</v>
      </c>
      <c r="I29" s="43"/>
      <c r="J29" s="65">
        <f t="shared" si="9"/>
        <v>0</v>
      </c>
      <c r="K29" s="42"/>
      <c r="L29" s="42"/>
      <c r="M29" s="43"/>
      <c r="N29" s="65">
        <f t="shared" si="10"/>
        <v>0</v>
      </c>
      <c r="O29" s="42"/>
      <c r="P29" s="44">
        <v>0</v>
      </c>
      <c r="Q29" s="44"/>
      <c r="R29" s="66">
        <v>0</v>
      </c>
      <c r="S29" s="67"/>
      <c r="T29" s="68">
        <f t="shared" si="11"/>
        <v>0</v>
      </c>
      <c r="U29" s="69">
        <f t="shared" si="12"/>
        <v>0</v>
      </c>
      <c r="V29" s="8"/>
      <c r="W29" s="8"/>
      <c r="AB2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s="9" customFormat="1" ht="30" customHeight="1">
      <c r="A30" s="8"/>
      <c r="B30" s="85" t="s">
        <v>109</v>
      </c>
      <c r="C30" s="116" t="s">
        <v>110</v>
      </c>
      <c r="D30" s="15" t="s">
        <v>100</v>
      </c>
      <c r="E30" s="41">
        <v>46280</v>
      </c>
      <c r="F30" s="86"/>
      <c r="G30" s="86"/>
      <c r="H30" s="64">
        <v>28</v>
      </c>
      <c r="I30" s="43"/>
      <c r="J30" s="65">
        <f t="shared" si="9"/>
        <v>0</v>
      </c>
      <c r="K30" s="42"/>
      <c r="L30" s="42"/>
      <c r="M30" s="43"/>
      <c r="N30" s="65">
        <f t="shared" si="10"/>
        <v>0</v>
      </c>
      <c r="O30" s="42"/>
      <c r="P30" s="44">
        <v>0</v>
      </c>
      <c r="Q30" s="44"/>
      <c r="R30" s="66">
        <v>0</v>
      </c>
      <c r="S30" s="67"/>
      <c r="T30" s="68">
        <f t="shared" si="11"/>
        <v>0</v>
      </c>
      <c r="U30" s="69">
        <f t="shared" si="12"/>
        <v>0</v>
      </c>
      <c r="V30" s="8"/>
      <c r="W30" s="8"/>
      <c r="AB30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s="9" customFormat="1" ht="30" customHeight="1">
      <c r="A31" s="8"/>
      <c r="B31" s="85" t="s">
        <v>111</v>
      </c>
      <c r="C31" s="116" t="s">
        <v>112</v>
      </c>
      <c r="D31" s="15" t="s">
        <v>100</v>
      </c>
      <c r="E31" s="41">
        <v>46300</v>
      </c>
      <c r="F31" s="86"/>
      <c r="G31" s="86"/>
      <c r="H31" s="64">
        <v>6</v>
      </c>
      <c r="I31" s="43"/>
      <c r="J31" s="65">
        <f t="shared" si="6"/>
        <v>0</v>
      </c>
      <c r="K31" s="42"/>
      <c r="L31" s="42"/>
      <c r="M31" s="43"/>
      <c r="N31" s="65">
        <f t="shared" si="7"/>
        <v>0</v>
      </c>
      <c r="O31" s="42"/>
      <c r="P31" s="44">
        <v>0</v>
      </c>
      <c r="Q31" s="44"/>
      <c r="R31" s="66">
        <v>0</v>
      </c>
      <c r="S31" s="67"/>
      <c r="T31" s="68">
        <f t="shared" si="8"/>
        <v>0</v>
      </c>
      <c r="U31" s="69">
        <f t="shared" si="5"/>
        <v>0</v>
      </c>
      <c r="V31" s="8"/>
      <c r="W31" s="8"/>
      <c r="AB31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s="9" customFormat="1" ht="30" customHeight="1">
      <c r="A32" s="8"/>
      <c r="B32" s="85" t="s">
        <v>113</v>
      </c>
      <c r="C32" s="116" t="s">
        <v>114</v>
      </c>
      <c r="D32" s="15" t="s">
        <v>100</v>
      </c>
      <c r="E32" s="41">
        <v>46280</v>
      </c>
      <c r="F32" s="86"/>
      <c r="G32" s="86"/>
      <c r="H32" s="64">
        <v>20</v>
      </c>
      <c r="I32" s="43"/>
      <c r="J32" s="65">
        <f t="shared" si="6"/>
        <v>0</v>
      </c>
      <c r="K32" s="42"/>
      <c r="L32" s="42"/>
      <c r="M32" s="43"/>
      <c r="N32" s="65">
        <f t="shared" si="7"/>
        <v>0</v>
      </c>
      <c r="O32" s="42"/>
      <c r="P32" s="44">
        <v>0</v>
      </c>
      <c r="Q32" s="44"/>
      <c r="R32" s="66">
        <v>0</v>
      </c>
      <c r="S32" s="67"/>
      <c r="T32" s="68">
        <f t="shared" si="8"/>
        <v>0</v>
      </c>
      <c r="U32" s="69">
        <f t="shared" si="5"/>
        <v>0</v>
      </c>
      <c r="V32" s="8"/>
      <c r="W32" s="8"/>
      <c r="AB32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s="9" customFormat="1" ht="30" customHeight="1">
      <c r="A33" s="8"/>
      <c r="B33" s="85" t="s">
        <v>115</v>
      </c>
      <c r="C33" s="116" t="s">
        <v>116</v>
      </c>
      <c r="D33" s="15" t="s">
        <v>100</v>
      </c>
      <c r="E33" s="41">
        <v>46287</v>
      </c>
      <c r="F33" s="86"/>
      <c r="G33" s="86"/>
      <c r="H33" s="64">
        <v>6</v>
      </c>
      <c r="I33" s="43"/>
      <c r="J33" s="65">
        <f t="shared" si="6"/>
        <v>0</v>
      </c>
      <c r="K33" s="42"/>
      <c r="L33" s="42"/>
      <c r="M33" s="43"/>
      <c r="N33" s="65">
        <f t="shared" si="7"/>
        <v>0</v>
      </c>
      <c r="O33" s="42"/>
      <c r="P33" s="44">
        <v>0</v>
      </c>
      <c r="Q33" s="44"/>
      <c r="R33" s="66">
        <v>0</v>
      </c>
      <c r="S33" s="67"/>
      <c r="T33" s="68">
        <f t="shared" si="8"/>
        <v>0</v>
      </c>
      <c r="U33" s="69">
        <f t="shared" si="5"/>
        <v>0</v>
      </c>
      <c r="V33" s="8"/>
      <c r="W33" s="8"/>
      <c r="AB33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s="9" customFormat="1" ht="30" customHeight="1">
      <c r="A34" s="8"/>
      <c r="B34" s="85" t="s">
        <v>117</v>
      </c>
      <c r="C34" s="116" t="s">
        <v>118</v>
      </c>
      <c r="D34" s="15" t="s">
        <v>100</v>
      </c>
      <c r="E34" s="41">
        <v>46306</v>
      </c>
      <c r="F34" s="86"/>
      <c r="G34" s="86"/>
      <c r="H34" s="64">
        <v>15</v>
      </c>
      <c r="I34" s="43"/>
      <c r="J34" s="65">
        <f t="shared" si="6"/>
        <v>0</v>
      </c>
      <c r="K34" s="42"/>
      <c r="L34" s="42"/>
      <c r="M34" s="43"/>
      <c r="N34" s="65">
        <f t="shared" si="7"/>
        <v>0</v>
      </c>
      <c r="O34" s="42"/>
      <c r="P34" s="44">
        <v>0</v>
      </c>
      <c r="Q34" s="44"/>
      <c r="R34" s="66">
        <v>0</v>
      </c>
      <c r="S34" s="67"/>
      <c r="T34" s="68">
        <f t="shared" si="8"/>
        <v>0</v>
      </c>
      <c r="U34" s="69">
        <f t="shared" si="5"/>
        <v>0</v>
      </c>
      <c r="V34" s="8"/>
      <c r="W34" s="8"/>
      <c r="AB34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s="9" customFormat="1" ht="30" customHeight="1">
      <c r="A35" s="8"/>
      <c r="B35" s="84" t="s">
        <v>119</v>
      </c>
      <c r="C35" s="116" t="s">
        <v>120</v>
      </c>
      <c r="D35" s="15" t="s">
        <v>100</v>
      </c>
      <c r="E35" s="41">
        <v>46313</v>
      </c>
      <c r="F35" s="86"/>
      <c r="G35" s="86"/>
      <c r="H35" s="64">
        <v>2</v>
      </c>
      <c r="I35" s="43"/>
      <c r="J35" s="65">
        <f t="shared" ref="J35:J38" si="13">H35*I35</f>
        <v>0</v>
      </c>
      <c r="K35" s="42"/>
      <c r="L35" s="42"/>
      <c r="M35" s="43"/>
      <c r="N35" s="65">
        <f t="shared" ref="N35:N38" si="14">L35*M35</f>
        <v>0</v>
      </c>
      <c r="O35" s="42"/>
      <c r="P35" s="44">
        <v>0</v>
      </c>
      <c r="Q35" s="44"/>
      <c r="R35" s="66">
        <v>0</v>
      </c>
      <c r="S35" s="67"/>
      <c r="T35" s="68">
        <f t="shared" ref="T35:T38" si="15">J35+N35+P35+Q35+R35</f>
        <v>0</v>
      </c>
      <c r="U35" s="69">
        <f t="shared" ref="U35:U38" si="16">T35-S35</f>
        <v>0</v>
      </c>
      <c r="V35" s="8"/>
      <c r="W35" s="8"/>
      <c r="AB35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s="9" customFormat="1" ht="30" customHeight="1">
      <c r="A36" s="8"/>
      <c r="B36" s="85" t="s">
        <v>121</v>
      </c>
      <c r="C36" s="116" t="s">
        <v>122</v>
      </c>
      <c r="D36" s="15" t="s">
        <v>100</v>
      </c>
      <c r="E36" s="41">
        <v>46313</v>
      </c>
      <c r="F36" s="86"/>
      <c r="G36" s="86"/>
      <c r="H36" s="64">
        <v>2</v>
      </c>
      <c r="I36" s="43"/>
      <c r="J36" s="65">
        <f t="shared" si="13"/>
        <v>0</v>
      </c>
      <c r="K36" s="42"/>
      <c r="L36" s="42"/>
      <c r="M36" s="43"/>
      <c r="N36" s="65">
        <f t="shared" si="14"/>
        <v>0</v>
      </c>
      <c r="O36" s="42"/>
      <c r="P36" s="44">
        <v>0</v>
      </c>
      <c r="Q36" s="44"/>
      <c r="R36" s="66">
        <v>0</v>
      </c>
      <c r="S36" s="67"/>
      <c r="T36" s="68">
        <f t="shared" si="15"/>
        <v>0</v>
      </c>
      <c r="U36" s="69">
        <f t="shared" si="16"/>
        <v>0</v>
      </c>
      <c r="V36" s="8"/>
      <c r="W36" s="8"/>
      <c r="AB36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s="9" customFormat="1" ht="30" customHeight="1">
      <c r="A37" s="8"/>
      <c r="B37" s="85" t="s">
        <v>123</v>
      </c>
      <c r="C37" s="116" t="s">
        <v>124</v>
      </c>
      <c r="D37" s="15" t="s">
        <v>100</v>
      </c>
      <c r="E37" s="41">
        <v>46320</v>
      </c>
      <c r="F37" s="86"/>
      <c r="G37" s="86"/>
      <c r="H37" s="64">
        <v>2</v>
      </c>
      <c r="I37" s="43"/>
      <c r="J37" s="65">
        <f t="shared" si="13"/>
        <v>0</v>
      </c>
      <c r="K37" s="42"/>
      <c r="L37" s="42"/>
      <c r="M37" s="43"/>
      <c r="N37" s="65">
        <f t="shared" si="14"/>
        <v>0</v>
      </c>
      <c r="O37" s="42"/>
      <c r="P37" s="44">
        <v>0</v>
      </c>
      <c r="Q37" s="44"/>
      <c r="R37" s="66">
        <v>0</v>
      </c>
      <c r="S37" s="67"/>
      <c r="T37" s="68">
        <f t="shared" si="15"/>
        <v>0</v>
      </c>
      <c r="U37" s="69">
        <f t="shared" si="16"/>
        <v>0</v>
      </c>
      <c r="V37" s="8"/>
      <c r="W37" s="8"/>
      <c r="AB37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s="9" customFormat="1" ht="30" customHeight="1">
      <c r="A38" s="8"/>
      <c r="B38" s="85" t="s">
        <v>125</v>
      </c>
      <c r="C38" s="116" t="s">
        <v>126</v>
      </c>
      <c r="D38" s="15" t="s">
        <v>100</v>
      </c>
      <c r="E38" s="41">
        <v>46320</v>
      </c>
      <c r="F38" s="86"/>
      <c r="G38" s="86"/>
      <c r="H38" s="64">
        <v>2</v>
      </c>
      <c r="I38" s="43"/>
      <c r="J38" s="65">
        <f t="shared" si="13"/>
        <v>0</v>
      </c>
      <c r="K38" s="42"/>
      <c r="L38" s="42"/>
      <c r="M38" s="43"/>
      <c r="N38" s="65">
        <f t="shared" si="14"/>
        <v>0</v>
      </c>
      <c r="O38" s="42"/>
      <c r="P38" s="44">
        <v>0</v>
      </c>
      <c r="Q38" s="44"/>
      <c r="R38" s="66">
        <v>0</v>
      </c>
      <c r="S38" s="67"/>
      <c r="T38" s="68">
        <f t="shared" si="15"/>
        <v>0</v>
      </c>
      <c r="U38" s="69">
        <f t="shared" si="16"/>
        <v>0</v>
      </c>
      <c r="V38" s="8"/>
      <c r="W38" s="8"/>
      <c r="AB3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s="9" customFormat="1" ht="30" customHeight="1">
      <c r="A39" s="8"/>
      <c r="B39" s="85" t="s">
        <v>127</v>
      </c>
      <c r="C39" s="116" t="s">
        <v>128</v>
      </c>
      <c r="D39" s="15" t="s">
        <v>100</v>
      </c>
      <c r="E39" s="41">
        <v>46320</v>
      </c>
      <c r="F39" s="86"/>
      <c r="G39" s="86"/>
      <c r="H39" s="64">
        <v>5</v>
      </c>
      <c r="I39" s="43"/>
      <c r="J39" s="65">
        <f t="shared" si="6"/>
        <v>0</v>
      </c>
      <c r="K39" s="42"/>
      <c r="L39" s="42"/>
      <c r="M39" s="43"/>
      <c r="N39" s="65">
        <f t="shared" si="7"/>
        <v>0</v>
      </c>
      <c r="O39" s="42"/>
      <c r="P39" s="44">
        <v>0</v>
      </c>
      <c r="Q39" s="44"/>
      <c r="R39" s="66">
        <v>0</v>
      </c>
      <c r="S39" s="67"/>
      <c r="T39" s="68">
        <f t="shared" si="8"/>
        <v>0</v>
      </c>
      <c r="U39" s="69">
        <f t="shared" si="5"/>
        <v>0</v>
      </c>
      <c r="V39" s="8"/>
      <c r="W39" s="8"/>
      <c r="AB39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s="9" customFormat="1" ht="30" customHeight="1">
      <c r="A40" s="8"/>
      <c r="B40" s="85" t="s">
        <v>129</v>
      </c>
      <c r="C40" s="116" t="s">
        <v>130</v>
      </c>
      <c r="D40" s="15" t="s">
        <v>100</v>
      </c>
      <c r="E40" s="41">
        <v>46320</v>
      </c>
      <c r="F40" s="86"/>
      <c r="G40" s="86"/>
      <c r="H40" s="64">
        <v>8</v>
      </c>
      <c r="I40" s="43"/>
      <c r="J40" s="65">
        <f t="shared" si="6"/>
        <v>0</v>
      </c>
      <c r="K40" s="42"/>
      <c r="L40" s="42"/>
      <c r="M40" s="43"/>
      <c r="N40" s="65">
        <f t="shared" si="7"/>
        <v>0</v>
      </c>
      <c r="O40" s="42"/>
      <c r="P40" s="44">
        <v>0</v>
      </c>
      <c r="Q40" s="44"/>
      <c r="R40" s="66">
        <v>0</v>
      </c>
      <c r="S40" s="67"/>
      <c r="T40" s="68">
        <f t="shared" si="8"/>
        <v>0</v>
      </c>
      <c r="U40" s="69">
        <f t="shared" si="5"/>
        <v>0</v>
      </c>
      <c r="V40" s="8"/>
      <c r="W40" s="8"/>
      <c r="AB40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s="9" customFormat="1" ht="30" customHeight="1">
      <c r="A41" s="8"/>
      <c r="B41" s="85" t="s">
        <v>131</v>
      </c>
      <c r="C41" s="116" t="s">
        <v>132</v>
      </c>
      <c r="D41" s="15" t="s">
        <v>100</v>
      </c>
      <c r="E41" s="41">
        <v>46326</v>
      </c>
      <c r="F41" s="86"/>
      <c r="G41" s="86"/>
      <c r="H41" s="64">
        <v>2</v>
      </c>
      <c r="I41" s="43"/>
      <c r="J41" s="65">
        <f t="shared" si="6"/>
        <v>0</v>
      </c>
      <c r="K41" s="42"/>
      <c r="L41" s="42"/>
      <c r="M41" s="43"/>
      <c r="N41" s="65">
        <f t="shared" si="7"/>
        <v>0</v>
      </c>
      <c r="O41" s="42"/>
      <c r="P41" s="44">
        <v>0</v>
      </c>
      <c r="Q41" s="44"/>
      <c r="R41" s="66">
        <v>0</v>
      </c>
      <c r="S41" s="67"/>
      <c r="T41" s="68">
        <f t="shared" si="8"/>
        <v>0</v>
      </c>
      <c r="U41" s="69">
        <f t="shared" si="5"/>
        <v>0</v>
      </c>
      <c r="V41" s="8"/>
      <c r="W41" s="8"/>
      <c r="AB41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s="9" customFormat="1" ht="30" customHeight="1">
      <c r="A42" s="8"/>
      <c r="B42" s="85" t="s">
        <v>133</v>
      </c>
      <c r="C42" s="116" t="s">
        <v>134</v>
      </c>
      <c r="D42" s="15" t="s">
        <v>100</v>
      </c>
      <c r="E42" s="41">
        <v>46326</v>
      </c>
      <c r="F42" s="86"/>
      <c r="G42" s="86"/>
      <c r="H42" s="64">
        <v>2</v>
      </c>
      <c r="I42" s="43"/>
      <c r="J42" s="65">
        <f t="shared" si="6"/>
        <v>0</v>
      </c>
      <c r="K42" s="42"/>
      <c r="L42" s="42"/>
      <c r="M42" s="43"/>
      <c r="N42" s="65">
        <f t="shared" si="7"/>
        <v>0</v>
      </c>
      <c r="O42" s="42"/>
      <c r="P42" s="44">
        <v>0</v>
      </c>
      <c r="Q42" s="44"/>
      <c r="R42" s="66">
        <v>0</v>
      </c>
      <c r="S42" s="67"/>
      <c r="T42" s="68">
        <f t="shared" si="8"/>
        <v>0</v>
      </c>
      <c r="U42" s="69">
        <f t="shared" si="5"/>
        <v>0</v>
      </c>
      <c r="V42" s="8"/>
      <c r="W42" s="8"/>
      <c r="AB42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s="9" customFormat="1" ht="30" customHeight="1">
      <c r="A43" s="8"/>
      <c r="B43" s="85" t="s">
        <v>135</v>
      </c>
      <c r="C43" s="116" t="s">
        <v>136</v>
      </c>
      <c r="D43" s="15" t="s">
        <v>100</v>
      </c>
      <c r="E43" s="41">
        <v>46333</v>
      </c>
      <c r="F43" s="86"/>
      <c r="G43" s="86"/>
      <c r="H43" s="64">
        <v>4</v>
      </c>
      <c r="I43" s="43"/>
      <c r="J43" s="65">
        <f t="shared" ref="J43" si="17">H43*I43</f>
        <v>0</v>
      </c>
      <c r="K43" s="42"/>
      <c r="L43" s="42"/>
      <c r="M43" s="43"/>
      <c r="N43" s="65">
        <f t="shared" ref="N43" si="18">L43*M43</f>
        <v>0</v>
      </c>
      <c r="O43" s="42"/>
      <c r="P43" s="44">
        <v>0</v>
      </c>
      <c r="Q43" s="44"/>
      <c r="R43" s="66">
        <v>0</v>
      </c>
      <c r="S43" s="67"/>
      <c r="T43" s="68">
        <f t="shared" ref="T43" si="19">J43+N43+P43+Q43+R43</f>
        <v>0</v>
      </c>
      <c r="U43" s="69">
        <f t="shared" ref="U43" si="20">T43-S43</f>
        <v>0</v>
      </c>
      <c r="V43" s="8"/>
      <c r="W43" s="8"/>
      <c r="AB43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s="9" customFormat="1" ht="30" customHeight="1">
      <c r="A44" s="8"/>
      <c r="B44" s="85" t="s">
        <v>137</v>
      </c>
      <c r="C44" s="116" t="s">
        <v>138</v>
      </c>
      <c r="D44" s="15" t="s">
        <v>100</v>
      </c>
      <c r="E44" s="41">
        <v>46333</v>
      </c>
      <c r="F44" s="86"/>
      <c r="G44" s="86"/>
      <c r="H44" s="64">
        <v>3</v>
      </c>
      <c r="I44" s="43"/>
      <c r="J44" s="65">
        <f t="shared" ref="J44" si="21">H44*I44</f>
        <v>0</v>
      </c>
      <c r="K44" s="42"/>
      <c r="L44" s="42"/>
      <c r="M44" s="43"/>
      <c r="N44" s="65">
        <f t="shared" ref="N44" si="22">L44*M44</f>
        <v>0</v>
      </c>
      <c r="O44" s="42"/>
      <c r="P44" s="44">
        <v>0</v>
      </c>
      <c r="Q44" s="44"/>
      <c r="R44" s="66">
        <v>0</v>
      </c>
      <c r="S44" s="67"/>
      <c r="T44" s="68">
        <f t="shared" ref="T44" si="23">J44+N44+P44+Q44+R44</f>
        <v>0</v>
      </c>
      <c r="U44" s="69">
        <f t="shared" ref="U44" si="24">T44-S44</f>
        <v>0</v>
      </c>
      <c r="V44" s="8"/>
      <c r="W44" s="8"/>
      <c r="X44"/>
      <c r="Y44"/>
      <c r="Z44"/>
      <c r="AA44"/>
      <c r="AB44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s="9" customFormat="1" ht="30" customHeight="1">
      <c r="A45" s="8"/>
      <c r="B45" s="85" t="s">
        <v>139</v>
      </c>
      <c r="C45" s="116" t="s">
        <v>140</v>
      </c>
      <c r="D45" s="15" t="s">
        <v>100</v>
      </c>
      <c r="E45" s="41">
        <v>46339</v>
      </c>
      <c r="F45" s="86"/>
      <c r="G45" s="86"/>
      <c r="H45" s="64">
        <v>4</v>
      </c>
      <c r="I45" s="43"/>
      <c r="J45" s="65">
        <f t="shared" si="6"/>
        <v>0</v>
      </c>
      <c r="K45" s="42"/>
      <c r="L45" s="42"/>
      <c r="M45" s="43"/>
      <c r="N45" s="65">
        <f t="shared" si="7"/>
        <v>0</v>
      </c>
      <c r="O45" s="42"/>
      <c r="P45" s="44">
        <v>0</v>
      </c>
      <c r="Q45" s="44"/>
      <c r="R45" s="66">
        <v>0</v>
      </c>
      <c r="S45" s="67"/>
      <c r="T45" s="68">
        <f t="shared" si="8"/>
        <v>0</v>
      </c>
      <c r="U45" s="69">
        <f t="shared" si="5"/>
        <v>0</v>
      </c>
      <c r="V45" s="8"/>
      <c r="W45" s="4"/>
      <c r="X45" s="3"/>
      <c r="Y45" s="3"/>
      <c r="Z45" s="3"/>
      <c r="AA45" s="3"/>
      <c r="AB45" s="3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s="9" customFormat="1" ht="30" customHeight="1">
      <c r="A46" s="8"/>
      <c r="B46" s="20" t="s">
        <v>141</v>
      </c>
      <c r="C46" s="20"/>
      <c r="D46" s="37"/>
      <c r="E46" s="21"/>
      <c r="F46" s="21"/>
      <c r="G46" s="56"/>
      <c r="H46" s="48"/>
      <c r="I46" s="38"/>
      <c r="J46" s="40">
        <f>SUM(J5:J45)</f>
        <v>989390</v>
      </c>
      <c r="K46" s="40"/>
      <c r="L46" s="40"/>
      <c r="M46" s="40"/>
      <c r="N46" s="40">
        <f>SUM(N5:N45)</f>
        <v>190000</v>
      </c>
      <c r="O46" s="40"/>
      <c r="P46" s="40">
        <f>SUM(P5:P45)</f>
        <v>0</v>
      </c>
      <c r="Q46" s="40">
        <f>SUM(Q5:Q45)</f>
        <v>460670.3600000001</v>
      </c>
      <c r="R46" s="46">
        <f>SUM(R5:R45)</f>
        <v>0</v>
      </c>
      <c r="S46" s="53">
        <f>SUM(S5:S45)</f>
        <v>1735000</v>
      </c>
      <c r="T46" s="50">
        <f>SUM(J46:R46)</f>
        <v>1640060.36</v>
      </c>
      <c r="U46" s="50">
        <f>T46-S46</f>
        <v>-94939.639999999898</v>
      </c>
      <c r="V46" s="8"/>
      <c r="W46" s="4"/>
      <c r="X46" s="3"/>
      <c r="Y46" s="3"/>
      <c r="Z46" s="3"/>
      <c r="AA46" s="3"/>
      <c r="AB46" s="3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s="9" customFormat="1" ht="11.1" customHeight="1">
      <c r="A47" s="8"/>
      <c r="B47" s="10"/>
      <c r="C47" s="10"/>
      <c r="D47" s="10"/>
      <c r="E47" s="10"/>
      <c r="F47" s="10"/>
      <c r="G47" s="10"/>
      <c r="H47" s="11"/>
      <c r="I47" s="12"/>
      <c r="J47" s="12"/>
      <c r="K47" s="12"/>
      <c r="L47" s="11"/>
      <c r="M47" s="12"/>
      <c r="N47" s="12"/>
      <c r="O47" s="12"/>
      <c r="P47" s="11"/>
      <c r="Q47" s="11"/>
      <c r="R47" s="12"/>
      <c r="S47" s="13"/>
      <c r="T47" s="12"/>
      <c r="U47" s="14"/>
      <c r="V47" s="8"/>
      <c r="W47" s="4"/>
      <c r="X47" s="3"/>
      <c r="Y47" s="3"/>
      <c r="Z47" s="3"/>
      <c r="AA47" s="3"/>
      <c r="AB47" s="3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s="3" customFormat="1" ht="21" customHeight="1">
      <c r="B48" s="5"/>
      <c r="C48" s="5"/>
      <c r="D48" s="5"/>
      <c r="E48" s="5"/>
      <c r="F48" s="5"/>
      <c r="G48" s="5"/>
      <c r="H48" s="1"/>
      <c r="I48" s="2"/>
      <c r="J48" s="2"/>
      <c r="K48" s="2"/>
      <c r="L48" s="1"/>
      <c r="M48" s="2"/>
      <c r="N48" s="2"/>
      <c r="O48" s="2"/>
      <c r="P48" s="1"/>
      <c r="Q48" s="1"/>
      <c r="R48" s="2"/>
      <c r="S48" s="6"/>
      <c r="T48" s="50" t="s">
        <v>142</v>
      </c>
      <c r="U48" s="114">
        <f>Z10-T46</f>
        <v>82433368.640000001</v>
      </c>
    </row>
    <row r="49" spans="1:4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4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4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</sheetData>
  <mergeCells count="5">
    <mergeCell ref="X10:Y10"/>
    <mergeCell ref="K2:N2"/>
    <mergeCell ref="O2:R2"/>
    <mergeCell ref="H2:J2"/>
    <mergeCell ref="S2:U2"/>
  </mergeCells>
  <conditionalFormatting sqref="D4:D45">
    <cfRule type="containsText" dxfId="26" priority="24" operator="containsText" text="Approved">
      <formula>NOT(ISERROR(SEARCH("Approved",D4)))</formula>
    </cfRule>
    <cfRule type="containsText" dxfId="25" priority="25" operator="containsText" text="Needs Review">
      <formula>NOT(ISERROR(SEARCH("Needs Review",D4)))</formula>
    </cfRule>
    <cfRule type="containsText" dxfId="24" priority="26" operator="containsText" text="Not Started">
      <formula>NOT(ISERROR(SEARCH("Not Started",D4)))</formula>
    </cfRule>
    <cfRule type="containsText" dxfId="23" priority="27" operator="containsText" text="On Hold">
      <formula>NOT(ISERROR(SEARCH("On Hold",D4)))</formula>
    </cfRule>
    <cfRule type="containsText" dxfId="22" priority="28" operator="containsText" text="Overdue">
      <formula>NOT(ISERROR(SEARCH("Overdue",D4)))</formula>
    </cfRule>
    <cfRule type="containsText" dxfId="21" priority="29" operator="containsText" text="Complete">
      <formula>NOT(ISERROR(SEARCH("Complete",D4)))</formula>
    </cfRule>
    <cfRule type="containsText" dxfId="20" priority="30" operator="containsText" text="In Progress">
      <formula>NOT(ISERROR(SEARCH("In Progress",D4)))</formula>
    </cfRule>
  </conditionalFormatting>
  <conditionalFormatting sqref="D5:D45">
    <cfRule type="cellIs" dxfId="19" priority="16" operator="equal">
      <formula>"No Iniciado"</formula>
    </cfRule>
    <cfRule type="cellIs" dxfId="18" priority="17" operator="equal">
      <formula>"Aprobado"</formula>
    </cfRule>
    <cfRule type="cellIs" dxfId="17" priority="18" operator="equal">
      <formula>"En Espera"</formula>
    </cfRule>
    <cfRule type="cellIs" dxfId="16" priority="19" operator="equal">
      <formula>"Atrasado"</formula>
    </cfRule>
    <cfRule type="cellIs" dxfId="15" priority="20" operator="equal">
      <formula>"Aprovado"</formula>
    </cfRule>
    <cfRule type="cellIs" dxfId="14" priority="21" operator="equal">
      <formula>"Requiere Revisión"</formula>
    </cfRule>
    <cfRule type="cellIs" dxfId="13" priority="22" operator="equal">
      <formula>"En Progreso"</formula>
    </cfRule>
    <cfRule type="cellIs" dxfId="12" priority="23" operator="equal">
      <formula>"Completo"</formula>
    </cfRule>
  </conditionalFormatting>
  <conditionalFormatting sqref="U5:U46">
    <cfRule type="cellIs" dxfId="11" priority="44" operator="lessThan">
      <formula>0</formula>
    </cfRule>
    <cfRule type="cellIs" dxfId="10" priority="45" operator="greaterThan">
      <formula>0</formula>
    </cfRule>
  </conditionalFormatting>
  <conditionalFormatting sqref="U4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ABFF-7BF5-4558-9326-F1049C4EC842}">
  <dimension ref="B1:V37"/>
  <sheetViews>
    <sheetView zoomScaleNormal="100" workbookViewId="0">
      <selection activeCell="J4" sqref="J4"/>
    </sheetView>
  </sheetViews>
  <sheetFormatPr defaultColWidth="11.125" defaultRowHeight="15.6"/>
  <cols>
    <col min="1" max="1" width="4.625" bestFit="1" customWidth="1"/>
    <col min="2" max="2" width="24.75" bestFit="1" customWidth="1"/>
    <col min="3" max="3" width="12.125" bestFit="1" customWidth="1"/>
    <col min="4" max="4" width="12.125" customWidth="1"/>
    <col min="5" max="5" width="8" customWidth="1"/>
    <col min="6" max="6" width="4.625" bestFit="1" customWidth="1"/>
    <col min="7" max="7" width="11.5" bestFit="1" customWidth="1"/>
    <col min="8" max="8" width="79.625" bestFit="1" customWidth="1"/>
    <col min="9" max="9" width="14.625" bestFit="1" customWidth="1"/>
    <col min="10" max="10" width="12.625" bestFit="1" customWidth="1"/>
    <col min="13" max="13" width="18.875" bestFit="1" customWidth="1"/>
    <col min="14" max="15" width="14.25" customWidth="1"/>
    <col min="16" max="16" width="15.875" customWidth="1"/>
    <col min="19" max="19" width="35.375" customWidth="1"/>
    <col min="20" max="21" width="28" customWidth="1"/>
    <col min="22" max="22" width="20.75" customWidth="1"/>
  </cols>
  <sheetData>
    <row r="1" spans="2:22" ht="40.15" customHeight="1" thickBot="1">
      <c r="B1" s="131" t="s">
        <v>32</v>
      </c>
      <c r="C1" s="131"/>
      <c r="D1" s="131"/>
      <c r="F1" s="131" t="s">
        <v>39</v>
      </c>
      <c r="G1" s="137"/>
      <c r="H1" s="137"/>
      <c r="I1" s="137"/>
      <c r="J1" s="137"/>
      <c r="L1" s="132" t="s">
        <v>44</v>
      </c>
      <c r="M1" s="132"/>
      <c r="N1" s="132"/>
      <c r="O1" s="132"/>
      <c r="P1" s="132"/>
      <c r="R1" s="132" t="s">
        <v>49</v>
      </c>
      <c r="S1" s="133"/>
      <c r="T1" s="133"/>
      <c r="U1" s="133"/>
      <c r="V1" s="133"/>
    </row>
    <row r="2" spans="2:22" ht="16.149999999999999" thickBot="1">
      <c r="B2" s="91" t="s">
        <v>143</v>
      </c>
      <c r="C2" s="92" t="s">
        <v>144</v>
      </c>
      <c r="D2" s="92" t="s">
        <v>145</v>
      </c>
      <c r="F2" s="93" t="s">
        <v>146</v>
      </c>
      <c r="G2" s="93" t="s">
        <v>147</v>
      </c>
      <c r="H2" s="93" t="s">
        <v>148</v>
      </c>
      <c r="I2" s="93" t="s">
        <v>149</v>
      </c>
      <c r="J2" s="111" t="s">
        <v>145</v>
      </c>
      <c r="K2" s="87"/>
      <c r="L2" s="93" t="s">
        <v>146</v>
      </c>
      <c r="M2" s="93" t="s">
        <v>147</v>
      </c>
      <c r="N2" s="93" t="s">
        <v>150</v>
      </c>
      <c r="O2" s="93" t="s">
        <v>151</v>
      </c>
      <c r="P2" s="93" t="s">
        <v>149</v>
      </c>
      <c r="R2" s="93" t="s">
        <v>146</v>
      </c>
      <c r="S2" s="93" t="s">
        <v>147</v>
      </c>
      <c r="T2" s="93" t="s">
        <v>148</v>
      </c>
      <c r="U2" t="s">
        <v>152</v>
      </c>
      <c r="V2" s="93" t="s">
        <v>149</v>
      </c>
    </row>
    <row r="3" spans="2:22">
      <c r="B3" s="89" t="s">
        <v>153</v>
      </c>
      <c r="C3" s="90">
        <v>6136000</v>
      </c>
      <c r="D3" s="90">
        <v>33714</v>
      </c>
      <c r="F3" s="94" t="s">
        <v>154</v>
      </c>
      <c r="G3" s="94" t="s">
        <v>155</v>
      </c>
      <c r="H3" s="94" t="s">
        <v>156</v>
      </c>
      <c r="I3" s="104">
        <v>3699000</v>
      </c>
      <c r="J3" s="111">
        <f>I3/C12</f>
        <v>22975.155279503106</v>
      </c>
      <c r="K3" s="87"/>
      <c r="L3" s="94" t="s">
        <v>157</v>
      </c>
      <c r="M3" s="94" t="s">
        <v>158</v>
      </c>
      <c r="N3" s="94">
        <v>2</v>
      </c>
      <c r="O3" s="104">
        <v>20000</v>
      </c>
      <c r="P3" s="104">
        <v>40000</v>
      </c>
      <c r="R3" s="94" t="s">
        <v>159</v>
      </c>
      <c r="S3" s="94" t="s">
        <v>160</v>
      </c>
      <c r="T3" s="94" t="s">
        <v>161</v>
      </c>
      <c r="U3" s="104">
        <v>3500000</v>
      </c>
      <c r="V3" s="104">
        <v>3500000</v>
      </c>
    </row>
    <row r="4" spans="2:22">
      <c r="B4" s="88" t="s">
        <v>162</v>
      </c>
      <c r="C4" s="90">
        <v>5664000</v>
      </c>
      <c r="D4" s="90">
        <v>31121</v>
      </c>
      <c r="F4" s="94" t="s">
        <v>163</v>
      </c>
      <c r="G4" s="94" t="s">
        <v>155</v>
      </c>
      <c r="H4" s="94" t="s">
        <v>164</v>
      </c>
      <c r="I4" s="104">
        <v>3220000</v>
      </c>
      <c r="J4" s="111">
        <f>I4/C12</f>
        <v>20000</v>
      </c>
      <c r="K4" s="87"/>
      <c r="L4" s="94" t="s">
        <v>165</v>
      </c>
      <c r="M4" s="94" t="s">
        <v>166</v>
      </c>
      <c r="N4" s="94">
        <v>6</v>
      </c>
      <c r="O4" s="104">
        <v>15000</v>
      </c>
      <c r="P4" s="104">
        <v>90000</v>
      </c>
      <c r="R4" s="94" t="s">
        <v>167</v>
      </c>
      <c r="S4" s="94" t="s">
        <v>168</v>
      </c>
      <c r="T4" s="94" t="s">
        <v>169</v>
      </c>
      <c r="U4" s="104">
        <f>V4/3</f>
        <v>2833333.3333333335</v>
      </c>
      <c r="V4" s="104">
        <v>8500000</v>
      </c>
    </row>
    <row r="5" spans="2:22">
      <c r="B5" s="88" t="s">
        <v>170</v>
      </c>
      <c r="C5" s="90">
        <v>5192000</v>
      </c>
      <c r="D5" s="90">
        <v>28527</v>
      </c>
      <c r="F5" s="94" t="s">
        <v>171</v>
      </c>
      <c r="G5" s="94" t="s">
        <v>155</v>
      </c>
      <c r="H5" s="94" t="s">
        <v>172</v>
      </c>
      <c r="I5" s="104">
        <v>3499900</v>
      </c>
      <c r="J5" s="111">
        <f>I5/C12</f>
        <v>21738.509316770185</v>
      </c>
      <c r="K5" s="87"/>
      <c r="L5" s="94" t="s">
        <v>173</v>
      </c>
      <c r="M5" s="94" t="s">
        <v>174</v>
      </c>
      <c r="N5" s="94">
        <v>6</v>
      </c>
      <c r="O5" s="104">
        <v>30000</v>
      </c>
      <c r="P5" s="104">
        <v>180000</v>
      </c>
      <c r="R5" s="94" t="s">
        <v>175</v>
      </c>
      <c r="S5" s="94" t="s">
        <v>176</v>
      </c>
      <c r="T5" s="94" t="s">
        <v>161</v>
      </c>
      <c r="U5" s="104">
        <v>1500000</v>
      </c>
      <c r="V5" s="104">
        <v>1500000</v>
      </c>
    </row>
    <row r="6" spans="2:22">
      <c r="B6" s="88" t="s">
        <v>177</v>
      </c>
      <c r="C6" s="90">
        <v>4248000</v>
      </c>
      <c r="D6" s="90">
        <v>23341</v>
      </c>
      <c r="F6" s="94" t="s">
        <v>70</v>
      </c>
      <c r="G6" s="94" t="s">
        <v>155</v>
      </c>
      <c r="H6" s="94" t="s">
        <v>178</v>
      </c>
      <c r="I6" s="104">
        <v>2299900</v>
      </c>
      <c r="J6" s="111">
        <f>I6/C12</f>
        <v>14285.093167701863</v>
      </c>
      <c r="K6" s="87"/>
      <c r="L6" s="94" t="s">
        <v>179</v>
      </c>
      <c r="M6" s="94" t="s">
        <v>180</v>
      </c>
      <c r="N6" s="94">
        <v>12</v>
      </c>
      <c r="O6" s="104">
        <v>2500</v>
      </c>
      <c r="P6" s="104">
        <v>30000</v>
      </c>
      <c r="R6" s="94" t="s">
        <v>181</v>
      </c>
      <c r="S6" s="107" t="s">
        <v>182</v>
      </c>
      <c r="T6" s="107" t="s">
        <v>161</v>
      </c>
      <c r="U6" s="104">
        <v>3400000</v>
      </c>
      <c r="V6" s="104">
        <v>3400000</v>
      </c>
    </row>
    <row r="7" spans="2:22">
      <c r="B7" s="88" t="s">
        <v>183</v>
      </c>
      <c r="C7" s="90">
        <v>3304000</v>
      </c>
      <c r="D7" s="90">
        <v>18154</v>
      </c>
      <c r="F7" s="94" t="s">
        <v>42</v>
      </c>
      <c r="G7" s="94" t="s">
        <v>155</v>
      </c>
      <c r="H7" s="94" t="s">
        <v>178</v>
      </c>
      <c r="I7" s="104">
        <v>2299900</v>
      </c>
      <c r="J7" s="111">
        <f>I7/C12</f>
        <v>14285.093167701863</v>
      </c>
      <c r="K7" s="87"/>
      <c r="L7" s="94" t="s">
        <v>57</v>
      </c>
      <c r="M7" s="94" t="s">
        <v>184</v>
      </c>
      <c r="N7" s="94">
        <v>1</v>
      </c>
      <c r="O7" s="104">
        <v>120000</v>
      </c>
      <c r="P7" s="104">
        <v>120000</v>
      </c>
      <c r="R7" s="134" t="s">
        <v>185</v>
      </c>
      <c r="S7" s="135"/>
      <c r="T7" s="135"/>
      <c r="U7" s="136"/>
      <c r="V7" s="105">
        <f>SUM(V3:V6)</f>
        <v>16900000</v>
      </c>
    </row>
    <row r="8" spans="2:22">
      <c r="B8" s="109" t="s">
        <v>186</v>
      </c>
      <c r="C8" s="90">
        <v>4248000</v>
      </c>
      <c r="D8" s="90">
        <v>23341</v>
      </c>
      <c r="F8" s="94" t="s">
        <v>75</v>
      </c>
      <c r="G8" s="94" t="s">
        <v>155</v>
      </c>
      <c r="H8" s="94" t="s">
        <v>178</v>
      </c>
      <c r="I8" s="104">
        <v>2299900</v>
      </c>
      <c r="J8" s="111">
        <f>I8/C12</f>
        <v>14285.093167701863</v>
      </c>
      <c r="L8" s="94" t="s">
        <v>36</v>
      </c>
      <c r="M8" s="102" t="s">
        <v>187</v>
      </c>
      <c r="N8" s="102">
        <v>6</v>
      </c>
      <c r="O8" s="104">
        <v>15000</v>
      </c>
      <c r="P8" s="104">
        <v>1080000</v>
      </c>
    </row>
    <row r="9" spans="2:22">
      <c r="B9" s="88" t="s">
        <v>185</v>
      </c>
      <c r="C9" s="108">
        <f>SUM(C3:C8)</f>
        <v>28792000</v>
      </c>
      <c r="D9" s="108">
        <f>SUM(D3:D8)</f>
        <v>158198</v>
      </c>
      <c r="F9" s="94" t="s">
        <v>188</v>
      </c>
      <c r="G9" s="94" t="s">
        <v>189</v>
      </c>
      <c r="H9" s="94" t="s">
        <v>190</v>
      </c>
      <c r="I9" s="104">
        <v>499930</v>
      </c>
      <c r="J9" s="111">
        <f>I9/C12</f>
        <v>3105.1552795031057</v>
      </c>
      <c r="L9" s="134" t="s">
        <v>191</v>
      </c>
      <c r="M9" s="134"/>
      <c r="N9" s="134"/>
      <c r="O9" s="103"/>
      <c r="P9" s="105">
        <f>SUM(P3:P8)</f>
        <v>1540000</v>
      </c>
    </row>
    <row r="10" spans="2:22">
      <c r="F10" s="94" t="s">
        <v>192</v>
      </c>
      <c r="G10" s="94" t="s">
        <v>189</v>
      </c>
      <c r="H10" s="94" t="s">
        <v>190</v>
      </c>
      <c r="I10" s="104">
        <v>499930</v>
      </c>
      <c r="J10" s="111">
        <f>I10/C12</f>
        <v>3105.1552795031057</v>
      </c>
    </row>
    <row r="11" spans="2:22">
      <c r="F11" s="94" t="s">
        <v>193</v>
      </c>
      <c r="G11" s="94" t="s">
        <v>189</v>
      </c>
      <c r="H11" s="94" t="s">
        <v>190</v>
      </c>
      <c r="I11" s="104">
        <v>499930</v>
      </c>
      <c r="J11" s="111">
        <f>I11/C12</f>
        <v>3105.1552795031057</v>
      </c>
    </row>
    <row r="12" spans="2:22">
      <c r="B12" s="110" t="s">
        <v>194</v>
      </c>
      <c r="C12">
        <v>161</v>
      </c>
      <c r="F12" s="94" t="s">
        <v>195</v>
      </c>
      <c r="G12" s="94" t="s">
        <v>196</v>
      </c>
      <c r="H12" s="94" t="s">
        <v>197</v>
      </c>
      <c r="I12" s="104">
        <v>480000</v>
      </c>
      <c r="J12" s="111">
        <f>I12/C12</f>
        <v>2981.3664596273293</v>
      </c>
    </row>
    <row r="13" spans="2:22">
      <c r="F13" s="94" t="s">
        <v>198</v>
      </c>
      <c r="G13" s="94" t="s">
        <v>196</v>
      </c>
      <c r="H13" s="94" t="s">
        <v>199</v>
      </c>
      <c r="I13" s="104">
        <v>360000</v>
      </c>
      <c r="J13" s="111">
        <f>I13/C12</f>
        <v>2236.0248447204967</v>
      </c>
    </row>
    <row r="14" spans="2:22">
      <c r="F14" s="94" t="s">
        <v>200</v>
      </c>
      <c r="G14" s="94" t="s">
        <v>196</v>
      </c>
      <c r="H14" s="94" t="s">
        <v>201</v>
      </c>
      <c r="I14" s="104">
        <v>1800000</v>
      </c>
      <c r="J14" s="111">
        <f>I14/C12</f>
        <v>11180.124223602485</v>
      </c>
    </row>
    <row r="15" spans="2:22">
      <c r="F15" s="94" t="s">
        <v>202</v>
      </c>
      <c r="G15" s="94" t="s">
        <v>196</v>
      </c>
      <c r="H15" s="94" t="s">
        <v>203</v>
      </c>
      <c r="I15" s="104">
        <v>1800000</v>
      </c>
      <c r="J15" s="111">
        <f>I15/C12</f>
        <v>11180.124223602485</v>
      </c>
    </row>
    <row r="16" spans="2:22">
      <c r="F16" s="94" t="s">
        <v>204</v>
      </c>
      <c r="G16" s="94" t="s">
        <v>196</v>
      </c>
      <c r="H16" s="94" t="s">
        <v>205</v>
      </c>
      <c r="I16" s="104">
        <v>1440000</v>
      </c>
      <c r="J16" s="111">
        <f>I16/C12</f>
        <v>8944.0993788819869</v>
      </c>
    </row>
    <row r="17" spans="6:10">
      <c r="F17" s="134" t="s">
        <v>185</v>
      </c>
      <c r="G17" s="134"/>
      <c r="H17" s="134"/>
      <c r="I17" s="105">
        <f>SUM(I3:I16)</f>
        <v>24698390</v>
      </c>
      <c r="J17" s="105">
        <f>I17/C12</f>
        <v>153406.14906832299</v>
      </c>
    </row>
    <row r="35" spans="8:8">
      <c r="H35" s="106"/>
    </row>
    <row r="36" spans="8:8">
      <c r="H36" s="106"/>
    </row>
    <row r="37" spans="8:8">
      <c r="H37" s="106"/>
    </row>
  </sheetData>
  <mergeCells count="7">
    <mergeCell ref="B1:D1"/>
    <mergeCell ref="R1:V1"/>
    <mergeCell ref="F17:H17"/>
    <mergeCell ref="L9:N9"/>
    <mergeCell ref="R7:U7"/>
    <mergeCell ref="L1:P1"/>
    <mergeCell ref="F1:J1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F3" sqref="F3"/>
    </sheetView>
  </sheetViews>
  <sheetFormatPr defaultColWidth="11" defaultRowHeight="15.6"/>
  <cols>
    <col min="1" max="1" width="3.375" style="9" customWidth="1"/>
    <col min="2" max="2" width="10.875" style="9"/>
    <col min="3" max="3" width="3.375" style="9" customWidth="1"/>
    <col min="5" max="5" width="3.375" style="9" customWidth="1"/>
    <col min="6" max="6" width="12.875" customWidth="1"/>
    <col min="7" max="7" width="3.375" style="9" customWidth="1"/>
  </cols>
  <sheetData>
    <row r="1" spans="1:32" s="9" customFormat="1" ht="42" customHeight="1" thickBot="1">
      <c r="B1" s="33" t="s">
        <v>206</v>
      </c>
      <c r="C1" s="7"/>
      <c r="D1" s="7"/>
      <c r="E1" s="7"/>
      <c r="F1" s="7"/>
      <c r="G1" s="7"/>
      <c r="H1" s="7"/>
      <c r="I1" s="7"/>
      <c r="J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4.95" customHeight="1" thickTop="1">
      <c r="A2" s="8"/>
      <c r="B2" s="32" t="s">
        <v>207</v>
      </c>
      <c r="C2" s="8"/>
      <c r="D2" s="32" t="s">
        <v>208</v>
      </c>
      <c r="E2" s="8"/>
      <c r="F2" s="32" t="s">
        <v>8</v>
      </c>
      <c r="G2" s="8"/>
    </row>
    <row r="3" spans="1:32" ht="35.1" customHeight="1">
      <c r="A3" s="8"/>
      <c r="B3" s="31" t="s">
        <v>209</v>
      </c>
      <c r="C3" s="8"/>
      <c r="D3" s="30" t="s">
        <v>210</v>
      </c>
      <c r="E3" s="8"/>
      <c r="F3" s="70" t="s">
        <v>100</v>
      </c>
      <c r="G3" s="8"/>
    </row>
    <row r="4" spans="1:32" ht="35.1" customHeight="1">
      <c r="A4" s="8"/>
      <c r="B4" s="29" t="s">
        <v>211</v>
      </c>
      <c r="C4" s="8"/>
      <c r="D4" s="28" t="s">
        <v>212</v>
      </c>
      <c r="E4" s="8"/>
      <c r="F4" s="71" t="s">
        <v>213</v>
      </c>
      <c r="G4" s="8"/>
    </row>
    <row r="5" spans="1:32" ht="35.1" customHeight="1">
      <c r="A5" s="8"/>
      <c r="C5" s="8"/>
      <c r="D5" s="27" t="s">
        <v>214</v>
      </c>
      <c r="E5" s="8"/>
      <c r="F5" s="72" t="s">
        <v>35</v>
      </c>
      <c r="G5" s="8"/>
    </row>
    <row r="6" spans="1:32" ht="35.1" customHeight="1">
      <c r="A6" s="8"/>
      <c r="C6" s="8"/>
      <c r="D6" s="23"/>
      <c r="E6" s="8"/>
      <c r="F6" s="26" t="s">
        <v>215</v>
      </c>
      <c r="G6" s="8"/>
    </row>
    <row r="7" spans="1:32" ht="35.1" customHeight="1">
      <c r="A7" s="8"/>
      <c r="C7" s="8"/>
      <c r="D7" s="23"/>
      <c r="E7" s="8"/>
      <c r="F7" s="25" t="s">
        <v>216</v>
      </c>
      <c r="G7" s="8"/>
    </row>
    <row r="8" spans="1:32" ht="35.1" customHeight="1">
      <c r="A8" s="8"/>
      <c r="C8" s="8"/>
      <c r="E8" s="8"/>
      <c r="F8" s="17" t="s">
        <v>217</v>
      </c>
      <c r="G8" s="8"/>
    </row>
    <row r="9" spans="1:32" ht="35.1" customHeight="1">
      <c r="A9" s="8"/>
      <c r="B9" s="8"/>
      <c r="C9" s="8"/>
      <c r="E9" s="8"/>
      <c r="F9" s="24" t="s">
        <v>96</v>
      </c>
      <c r="G9" s="8"/>
    </row>
    <row r="10" spans="1:32" ht="35.1" customHeight="1">
      <c r="A10" s="8"/>
      <c r="B10" s="8"/>
      <c r="C10" s="8"/>
      <c r="D10" s="23"/>
      <c r="E10" s="8"/>
      <c r="F10" s="16"/>
      <c r="G10" s="8"/>
    </row>
    <row r="11" spans="1:32" ht="35.1" customHeight="1">
      <c r="A11" s="8"/>
      <c r="B11" s="8"/>
      <c r="C11" s="8"/>
      <c r="D11" s="23"/>
      <c r="E11" s="8"/>
      <c r="F11" s="16"/>
      <c r="G11" s="8"/>
    </row>
    <row r="12" spans="1:32">
      <c r="A12" s="8"/>
      <c r="B12" s="8"/>
      <c r="C12" s="8"/>
      <c r="D12" s="23"/>
      <c r="E12" s="8"/>
      <c r="F12" s="23"/>
      <c r="G12" s="8"/>
    </row>
    <row r="13" spans="1:32">
      <c r="A13" s="8"/>
      <c r="B13" s="8"/>
      <c r="C13" s="8"/>
      <c r="D13" s="23"/>
      <c r="E13" s="8"/>
      <c r="F13" s="23"/>
      <c r="G13" s="8"/>
    </row>
    <row r="14" spans="1:32">
      <c r="A14" s="8"/>
      <c r="B14" s="8"/>
      <c r="C14" s="8"/>
      <c r="D14" s="23"/>
      <c r="E14" s="8"/>
      <c r="F14" s="23"/>
      <c r="G14" s="8"/>
    </row>
    <row r="15" spans="1:32">
      <c r="A15" s="8"/>
      <c r="B15" s="8"/>
      <c r="C15" s="8"/>
      <c r="D15" s="23"/>
      <c r="E15" s="8"/>
      <c r="F15" s="23"/>
      <c r="G15" s="8"/>
    </row>
    <row r="16" spans="1:32">
      <c r="A16" s="8"/>
      <c r="B16" s="8"/>
      <c r="C16" s="8"/>
      <c r="D16" s="23"/>
      <c r="E16" s="8"/>
      <c r="F16" s="23"/>
      <c r="G16" s="8"/>
    </row>
    <row r="17" spans="1:7">
      <c r="A17" s="8"/>
      <c r="B17" s="8"/>
      <c r="C17" s="8"/>
      <c r="D17" s="23"/>
      <c r="E17" s="8"/>
      <c r="G17" s="8"/>
    </row>
    <row r="18" spans="1:7">
      <c r="A18" s="8"/>
      <c r="B18" s="8"/>
      <c r="C18" s="8"/>
      <c r="D18" s="23"/>
      <c r="E18" s="8"/>
      <c r="G18" s="8"/>
    </row>
    <row r="19" spans="1:7">
      <c r="A19" s="8"/>
      <c r="B19" s="8"/>
      <c r="C19" s="8"/>
      <c r="D19" s="23"/>
      <c r="E19" s="8"/>
      <c r="G19" s="8"/>
    </row>
    <row r="20" spans="1:7">
      <c r="A20" s="8"/>
      <c r="B20" s="8"/>
      <c r="C20" s="8"/>
      <c r="D20" s="23"/>
      <c r="E20" s="8"/>
      <c r="G20" s="8"/>
    </row>
    <row r="21" spans="1:7">
      <c r="A21" s="8"/>
      <c r="B21" s="8"/>
      <c r="C21" s="8"/>
      <c r="D21" s="23"/>
      <c r="E21" s="8"/>
      <c r="G21" s="8"/>
    </row>
    <row r="22" spans="1:7">
      <c r="A22" s="8"/>
      <c r="B22" s="8"/>
      <c r="C22" s="8"/>
      <c r="D22" s="23"/>
      <c r="E22" s="8"/>
      <c r="G22" s="8"/>
    </row>
    <row r="23" spans="1:7">
      <c r="A23" s="8"/>
      <c r="B23" s="8"/>
      <c r="C23" s="8"/>
      <c r="D23" s="23"/>
      <c r="E23" s="8"/>
      <c r="G23" s="8"/>
    </row>
    <row r="24" spans="1:7">
      <c r="A24" s="8"/>
      <c r="B24" s="8"/>
      <c r="C24" s="8"/>
      <c r="D24" s="23"/>
      <c r="E24" s="8"/>
      <c r="G24" s="8"/>
    </row>
    <row r="25" spans="1:7">
      <c r="A25" s="8"/>
      <c r="B25" s="8"/>
      <c r="C25" s="8"/>
      <c r="D25" s="23"/>
      <c r="E25" s="8"/>
      <c r="G25" s="8"/>
    </row>
    <row r="26" spans="1:7">
      <c r="A26" s="8"/>
      <c r="B26" s="8"/>
      <c r="C26" s="8"/>
      <c r="D26" s="23"/>
      <c r="E26" s="8"/>
      <c r="G26" s="8"/>
    </row>
    <row r="27" spans="1:7">
      <c r="A27" s="8"/>
      <c r="B27" s="8"/>
      <c r="C27" s="8"/>
      <c r="D27" s="23"/>
      <c r="E27" s="8"/>
      <c r="G27" s="8"/>
    </row>
    <row r="28" spans="1:7">
      <c r="A28" s="8"/>
      <c r="B28" s="8"/>
      <c r="C28" s="8"/>
      <c r="D28" s="23"/>
      <c r="E28" s="8"/>
      <c r="G28" s="8"/>
    </row>
    <row r="29" spans="1:7">
      <c r="A29" s="8"/>
      <c r="B29" s="8"/>
      <c r="C29" s="8"/>
      <c r="D29" s="23"/>
      <c r="E29" s="8"/>
      <c r="G29" s="8"/>
    </row>
    <row r="30" spans="1:7">
      <c r="A30" s="8"/>
      <c r="B30" s="8"/>
      <c r="C30" s="8"/>
      <c r="D30" s="23"/>
      <c r="E30" s="8"/>
      <c r="G30" s="8"/>
    </row>
    <row r="31" spans="1:7">
      <c r="A31" s="8"/>
      <c r="B31" s="8"/>
      <c r="C31" s="8"/>
      <c r="D31" s="23"/>
      <c r="E31" s="8"/>
      <c r="G31" s="8"/>
    </row>
    <row r="32" spans="1:7">
      <c r="A32"/>
      <c r="B32"/>
      <c r="C32"/>
      <c r="D32" s="23"/>
      <c r="E32"/>
      <c r="G32"/>
    </row>
    <row r="33" spans="1:7">
      <c r="A33" s="8"/>
      <c r="B33" s="8"/>
      <c r="C33" s="8"/>
      <c r="E33" s="8"/>
      <c r="G33" s="8"/>
    </row>
    <row r="34" spans="1:7">
      <c r="A34" s="8"/>
      <c r="B34" s="8"/>
      <c r="C34" s="8"/>
      <c r="E34" s="8"/>
      <c r="G34" s="8"/>
    </row>
    <row r="35" spans="1:7">
      <c r="A35" s="8"/>
      <c r="B35" s="8"/>
      <c r="C35" s="8"/>
      <c r="E35" s="8"/>
      <c r="G35" s="8"/>
    </row>
    <row r="36" spans="1:7">
      <c r="A36" s="8"/>
      <c r="B36" s="8"/>
      <c r="C36" s="8"/>
      <c r="E36" s="8"/>
      <c r="G36" s="8"/>
    </row>
    <row r="37" spans="1:7">
      <c r="A37" s="8"/>
      <c r="B37" s="8"/>
      <c r="C37" s="8"/>
      <c r="E37" s="8"/>
      <c r="G37" s="8"/>
    </row>
    <row r="38" spans="1:7">
      <c r="A38" s="8"/>
      <c r="B38" s="8"/>
      <c r="C38" s="8"/>
      <c r="E38" s="8"/>
      <c r="G38" s="8"/>
    </row>
    <row r="39" spans="1:7">
      <c r="A39" s="8"/>
      <c r="B39" s="8"/>
      <c r="C39" s="8"/>
      <c r="E39" s="8"/>
      <c r="G39" s="8"/>
    </row>
    <row r="40" spans="1:7">
      <c r="A40" s="8"/>
      <c r="B40" s="8"/>
      <c r="C40" s="8"/>
      <c r="E40" s="8"/>
      <c r="G40" s="8"/>
    </row>
    <row r="41" spans="1:7">
      <c r="A41" s="8"/>
      <c r="B41" s="8"/>
      <c r="C41" s="8"/>
      <c r="E41" s="8"/>
      <c r="G41" s="8"/>
    </row>
    <row r="42" spans="1:7">
      <c r="A42" s="8"/>
      <c r="B42" s="8"/>
      <c r="C42" s="8"/>
      <c r="E42" s="8"/>
      <c r="G42" s="8"/>
    </row>
    <row r="43" spans="1:7">
      <c r="A43" s="8"/>
      <c r="B43" s="8"/>
      <c r="C43" s="8"/>
      <c r="E43" s="8"/>
      <c r="G43" s="8"/>
    </row>
    <row r="44" spans="1:7">
      <c r="A44" s="8"/>
      <c r="B44" s="8"/>
      <c r="C44" s="8"/>
      <c r="E44" s="8"/>
      <c r="G44" s="8"/>
    </row>
    <row r="45" spans="1:7">
      <c r="A45" s="8"/>
      <c r="B45" s="8"/>
      <c r="C45" s="8"/>
      <c r="E45" s="8"/>
      <c r="G45" s="8"/>
    </row>
    <row r="46" spans="1:7">
      <c r="A46" s="8"/>
      <c r="B46" s="8"/>
      <c r="C46" s="8"/>
      <c r="E46" s="8"/>
      <c r="G46" s="8"/>
    </row>
    <row r="47" spans="1:7">
      <c r="A47" s="8"/>
      <c r="B47" s="8"/>
      <c r="C47" s="8"/>
      <c r="E47" s="8"/>
      <c r="G47" s="8"/>
    </row>
    <row r="48" spans="1:7">
      <c r="A48" s="8"/>
      <c r="B48" s="8"/>
      <c r="C48" s="8"/>
      <c r="E48" s="8"/>
      <c r="G48" s="8"/>
    </row>
    <row r="49" spans="1:7">
      <c r="A49" s="8"/>
      <c r="B49" s="8"/>
      <c r="C49" s="8"/>
      <c r="E49" s="8"/>
      <c r="G49" s="8"/>
    </row>
    <row r="50" spans="1:7">
      <c r="A50" s="8"/>
      <c r="B50" s="8"/>
      <c r="C50" s="8"/>
      <c r="E50" s="8"/>
      <c r="G50" s="8"/>
    </row>
    <row r="51" spans="1:7">
      <c r="A51" s="8"/>
      <c r="B51" s="8"/>
      <c r="C51" s="8"/>
      <c r="E51" s="8"/>
      <c r="G51" s="8"/>
    </row>
    <row r="52" spans="1:7">
      <c r="A52" s="8"/>
      <c r="B52" s="8"/>
      <c r="C52" s="8"/>
      <c r="E52" s="8"/>
      <c r="G52" s="8"/>
    </row>
    <row r="53" spans="1:7">
      <c r="A53" s="8"/>
      <c r="B53" s="8"/>
      <c r="C53" s="8"/>
      <c r="E53" s="8"/>
      <c r="G53" s="8"/>
    </row>
    <row r="54" spans="1:7">
      <c r="A54" s="8"/>
      <c r="B54" s="8"/>
      <c r="C54" s="8"/>
      <c r="E54" s="8"/>
      <c r="G54" s="8"/>
    </row>
    <row r="55" spans="1:7">
      <c r="A55" s="8"/>
      <c r="B55" s="8"/>
      <c r="C55" s="8"/>
      <c r="E55" s="8"/>
      <c r="G55" s="8"/>
    </row>
    <row r="56" spans="1:7">
      <c r="A56" s="8"/>
      <c r="B56" s="8"/>
      <c r="C56" s="8"/>
      <c r="E56" s="8"/>
      <c r="G56" s="8"/>
    </row>
    <row r="57" spans="1:7">
      <c r="A57" s="8"/>
      <c r="B57" s="8"/>
      <c r="C57" s="8"/>
      <c r="E57" s="8"/>
      <c r="G57" s="8"/>
    </row>
    <row r="58" spans="1:7">
      <c r="A58" s="8"/>
      <c r="B58" s="8"/>
      <c r="C58" s="8"/>
      <c r="E58" s="8"/>
      <c r="G58" s="8"/>
    </row>
    <row r="59" spans="1:7">
      <c r="A59" s="8"/>
      <c r="B59" s="8"/>
      <c r="C59" s="8"/>
      <c r="E59" s="8"/>
      <c r="G59" s="8"/>
    </row>
    <row r="60" spans="1:7">
      <c r="A60" s="8"/>
      <c r="B60" s="8"/>
      <c r="C60" s="8"/>
      <c r="E60" s="8"/>
      <c r="G60" s="8"/>
    </row>
    <row r="61" spans="1:7">
      <c r="A61" s="8"/>
      <c r="B61" s="8"/>
      <c r="C61" s="8"/>
      <c r="E61" s="8"/>
      <c r="G61" s="8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/>
  <cp:revision/>
  <dcterms:created xsi:type="dcterms:W3CDTF">2015-08-28T20:34:30Z</dcterms:created>
  <dcterms:modified xsi:type="dcterms:W3CDTF">2026-09-30T22:55:58Z</dcterms:modified>
  <cp:category/>
  <cp:contentStatus/>
</cp:coreProperties>
</file>
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crfeg\OneDrive - Universidad Libre\Documentos\Universidad Libre\Septimo semestre\Gestion de proyectos\Primer corte\Documentos proyecto\"/>
    </mc:Choice>
  </mc:AlternateContent>
  <xr:revisionPtr revIDLastSave="0" documentId="8_{79AC128C-901B-4935-94FB-E964526C7FE5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Presupuesto del proyecto" sheetId="6" r:id="rId1"/>
    <sheet name="Presupuesto General" sheetId="8" r:id="rId2"/>
    <sheet name="listas desplegables" sheetId="3" r:id="rId3"/>
  </sheets>
  <externalReferences>
    <externalReference r:id="rId4"/>
    <externalReference r:id="rId5"/>
  </externalReferences>
  <definedNames>
    <definedName name="_xlnm.Print_Area" localSheetId="0">'Presupuesto del proyecto'!$B$1:$U$40</definedName>
    <definedName name="Priority">#REF!</definedName>
    <definedName name="Status">'listas desplegables'!$D$5:$D$7</definedName>
    <definedName name="Type" localSheetId="2">'[1]Risk Assessment &amp; Control'!#REF!</definedName>
    <definedName name="Type">'[2]Maintenance Work Order'!#REF!</definedName>
    <definedName name="YesNo">'listas desplegables'!$B$5:$B$6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9" i="8" l="1"/>
  <c r="Z4" i="6" s="1"/>
  <c r="D9" i="8"/>
  <c r="T4" i="8"/>
  <c r="U7" i="8"/>
  <c r="Z7" i="6" s="1"/>
  <c r="O9" i="8"/>
  <c r="Z6" i="6" s="1"/>
  <c r="I17" i="8"/>
  <c r="Z5" i="6" s="1"/>
  <c r="N35" i="6"/>
  <c r="J35" i="6"/>
  <c r="T35" i="6" s="1"/>
  <c r="U35" i="6" s="1"/>
  <c r="N34" i="6"/>
  <c r="J34" i="6"/>
  <c r="T34" i="6" s="1"/>
  <c r="U34" i="6" s="1"/>
  <c r="N33" i="6"/>
  <c r="J33" i="6"/>
  <c r="N31" i="6"/>
  <c r="J31" i="6"/>
  <c r="T31" i="6" s="1"/>
  <c r="U31" i="6" s="1"/>
  <c r="N30" i="6"/>
  <c r="J30" i="6"/>
  <c r="N29" i="6"/>
  <c r="J29" i="6"/>
  <c r="T29" i="6" s="1"/>
  <c r="U29" i="6" s="1"/>
  <c r="N28" i="6"/>
  <c r="J28" i="6"/>
  <c r="N36" i="6"/>
  <c r="J36" i="6"/>
  <c r="T36" i="6" s="1"/>
  <c r="U36" i="6" s="1"/>
  <c r="N32" i="6"/>
  <c r="J32" i="6"/>
  <c r="T32" i="6" s="1"/>
  <c r="U32" i="6" s="1"/>
  <c r="J37" i="6"/>
  <c r="N37" i="6"/>
  <c r="T37" i="6"/>
  <c r="U37" i="6" s="1"/>
  <c r="J38" i="6"/>
  <c r="N38" i="6"/>
  <c r="N23" i="6"/>
  <c r="J23" i="6"/>
  <c r="T23" i="6" s="1"/>
  <c r="U23" i="6" s="1"/>
  <c r="N22" i="6"/>
  <c r="J22" i="6"/>
  <c r="N21" i="6"/>
  <c r="J21" i="6"/>
  <c r="T21" i="6" s="1"/>
  <c r="U21" i="6" s="1"/>
  <c r="N20" i="6"/>
  <c r="J20" i="6"/>
  <c r="N19" i="6"/>
  <c r="J19" i="6"/>
  <c r="T19" i="6" s="1"/>
  <c r="U19" i="6" s="1"/>
  <c r="N18" i="6"/>
  <c r="J18" i="6"/>
  <c r="N13" i="6"/>
  <c r="J13" i="6"/>
  <c r="T13" i="6" s="1"/>
  <c r="U13" i="6" s="1"/>
  <c r="N12" i="6"/>
  <c r="J12" i="6"/>
  <c r="N11" i="6"/>
  <c r="J11" i="6"/>
  <c r="N10" i="6"/>
  <c r="J10" i="6"/>
  <c r="N9" i="6"/>
  <c r="J9" i="6"/>
  <c r="N8" i="6"/>
  <c r="J8" i="6"/>
  <c r="N7" i="6"/>
  <c r="J7" i="6"/>
  <c r="N6" i="6"/>
  <c r="J6" i="6"/>
  <c r="N5" i="6"/>
  <c r="J5" i="6"/>
  <c r="S39" i="6"/>
  <c r="J14" i="6"/>
  <c r="J15" i="6"/>
  <c r="J16" i="6"/>
  <c r="J17" i="6"/>
  <c r="J24" i="6"/>
  <c r="J25" i="6"/>
  <c r="J26" i="6"/>
  <c r="J27" i="6"/>
  <c r="N14" i="6"/>
  <c r="N15" i="6"/>
  <c r="N16" i="6"/>
  <c r="N17" i="6"/>
  <c r="N24" i="6"/>
  <c r="N25" i="6"/>
  <c r="N26" i="6"/>
  <c r="N27" i="6"/>
  <c r="P39" i="6"/>
  <c r="Q39" i="6"/>
  <c r="R39" i="6"/>
  <c r="Z9" i="6" l="1"/>
  <c r="Z10" i="6" s="1"/>
  <c r="T9" i="6"/>
  <c r="U9" i="6" s="1"/>
  <c r="T33" i="6"/>
  <c r="U33" i="6" s="1"/>
  <c r="T12" i="6"/>
  <c r="U12" i="6" s="1"/>
  <c r="T11" i="6"/>
  <c r="U11" i="6" s="1"/>
  <c r="T8" i="6"/>
  <c r="U8" i="6" s="1"/>
  <c r="T28" i="6"/>
  <c r="U28" i="6" s="1"/>
  <c r="T30" i="6"/>
  <c r="U30" i="6" s="1"/>
  <c r="T5" i="6"/>
  <c r="U5" i="6" s="1"/>
  <c r="T38" i="6"/>
  <c r="U38" i="6" s="1"/>
  <c r="T18" i="6"/>
  <c r="U18" i="6" s="1"/>
  <c r="T22" i="6"/>
  <c r="U22" i="6" s="1"/>
  <c r="T20" i="6"/>
  <c r="U20" i="6" s="1"/>
  <c r="T16" i="6"/>
  <c r="U16" i="6" s="1"/>
  <c r="J39" i="6"/>
  <c r="T6" i="6"/>
  <c r="U6" i="6" s="1"/>
  <c r="T26" i="6"/>
  <c r="U26" i="6" s="1"/>
  <c r="T10" i="6"/>
  <c r="U10" i="6" s="1"/>
  <c r="T7" i="6"/>
  <c r="U7" i="6" s="1"/>
  <c r="T15" i="6"/>
  <c r="U15" i="6" s="1"/>
  <c r="T27" i="6"/>
  <c r="U27" i="6" s="1"/>
  <c r="T25" i="6"/>
  <c r="U25" i="6" s="1"/>
  <c r="T24" i="6"/>
  <c r="U24" i="6" s="1"/>
  <c r="T17" i="6"/>
  <c r="U17" i="6" s="1"/>
  <c r="N39" i="6"/>
  <c r="T14" i="6"/>
  <c r="U14" i="6" s="1"/>
  <c r="AA4" i="6" l="1"/>
  <c r="AA5" i="6"/>
  <c r="AA6" i="6"/>
  <c r="AA7" i="6"/>
  <c r="AA8" i="6"/>
  <c r="AA9" i="6"/>
  <c r="T39" i="6"/>
  <c r="U39" i="6" s="1"/>
  <c r="AA10" i="6" l="1"/>
</calcChain>
</file>

<file path=xl/sharedStrings.xml><?xml version="1.0" encoding="utf-8"?>
<sst xmlns="http://schemas.openxmlformats.org/spreadsheetml/2006/main" count="301" uniqueCount="217">
  <si>
    <t>Presupuesto de Proyecto</t>
  </si>
  <si>
    <t>El usuario debe completar solo las celdas no sombreadas.</t>
  </si>
  <si>
    <t>Mano de Obra</t>
  </si>
  <si>
    <t>Materiales</t>
  </si>
  <si>
    <t>Costos Fijos</t>
  </si>
  <si>
    <t>Balance</t>
  </si>
  <si>
    <t>TAREA</t>
  </si>
  <si>
    <t>DESCRIPCION</t>
  </si>
  <si>
    <t>ESTADO</t>
  </si>
  <si>
    <t>FECHA INICIO PLANIFICADA</t>
  </si>
  <si>
    <t>FECHA INICIO REAL</t>
  </si>
  <si>
    <t>FECHA FIN</t>
  </si>
  <si>
    <t>HORAS</t>
  </si>
  <si>
    <t>VALOR HORA</t>
  </si>
  <si>
    <t>TOTAL MANO DE OBRA</t>
  </si>
  <si>
    <t>ID Material</t>
  </si>
  <si>
    <t>UNIDADES</t>
  </si>
  <si>
    <t>VALOR UNIDAD</t>
  </si>
  <si>
    <t>TOTAL MATERIALES</t>
  </si>
  <si>
    <t>ID Equipo</t>
  </si>
  <si>
    <t>VIAJES</t>
  </si>
  <si>
    <t>EQUIPOS</t>
  </si>
  <si>
    <t>MISCELANEOS</t>
  </si>
  <si>
    <t>PRESUPUESTO</t>
  </si>
  <si>
    <t>REAL</t>
  </si>
  <si>
    <t>Diferencia (Menos / Más del Presupuesto)</t>
  </si>
  <si>
    <t>No.</t>
  </si>
  <si>
    <t>Rubro Presupuestal</t>
  </si>
  <si>
    <t>TOTAL ($)</t>
  </si>
  <si>
    <t>% del Total</t>
  </si>
  <si>
    <t>PROJECT 1</t>
  </si>
  <si>
    <t>01.</t>
  </si>
  <si>
    <t>Talento Humano</t>
  </si>
  <si>
    <t>Acta de Proyecto</t>
  </si>
  <si>
    <t>Formalización y aprobación del proyecto.</t>
  </si>
  <si>
    <t>Completo</t>
  </si>
  <si>
    <t>13 ago-19 ago</t>
  </si>
  <si>
    <t>E02</t>
  </si>
  <si>
    <t>02.</t>
  </si>
  <si>
    <t>Equipos y Software</t>
  </si>
  <si>
    <t>Definir cronograma</t>
  </si>
  <si>
    <t>Definir fases, actividades, tiempos y entregables del proyecto.</t>
  </si>
  <si>
    <t>E03</t>
  </si>
  <si>
    <t>03.</t>
  </si>
  <si>
    <t>Materiales, Insumos y Doc.</t>
  </si>
  <si>
    <t>Estimar costos y elaborar presupuesto</t>
  </si>
  <si>
    <t>Estimar costos de desarrollo, herramientas, infraestructura y pruebas.</t>
  </si>
  <si>
    <t>04.</t>
  </si>
  <si>
    <t>Infraestructura</t>
  </si>
  <si>
    <t>Planificar recursos</t>
  </si>
  <si>
    <t>Definir recursos humanos, tecnológicos y materiales necesarios.</t>
  </si>
  <si>
    <t>En Progreso</t>
  </si>
  <si>
    <t>05.</t>
  </si>
  <si>
    <t xml:space="preserve">Viaticos </t>
  </si>
  <si>
    <t>Planificar comunicaciones</t>
  </si>
  <si>
    <t>Definir medios y frecuencia de comunicación del proyecto.</t>
  </si>
  <si>
    <t>No Iniciado</t>
  </si>
  <si>
    <t>20 ago-25 ago</t>
  </si>
  <si>
    <t>06.</t>
  </si>
  <si>
    <t>Contingencia</t>
  </si>
  <si>
    <t>Identificar y gestionar riesgos</t>
  </si>
  <si>
    <t>Identificar riesgos técnicos, de datos, IA y ejecución del proyecto.</t>
  </si>
  <si>
    <t>TOTAL PROYECTO</t>
  </si>
  <si>
    <t>Planificar calidad</t>
  </si>
  <si>
    <t>Definir criterios y controles de calidad para la aplicación.</t>
  </si>
  <si>
    <t>Planificar adquisiciones</t>
  </si>
  <si>
    <t>Definir herramientas, servicios o recursos externos necesarios.</t>
  </si>
  <si>
    <t>Definir estrategia de interesados</t>
  </si>
  <si>
    <t>Identificar usuarios y demás interesados del proyecto.</t>
  </si>
  <si>
    <t xml:space="preserve">no se le olvide mi sueldo </t>
  </si>
  <si>
    <t>Definir criterios de aceptación</t>
  </si>
  <si>
    <t>Establecer condiciones para aceptar los módulos y la solución final.</t>
  </si>
  <si>
    <t>20 ago- 1 sep</t>
  </si>
  <si>
    <t>jksjkasa</t>
  </si>
  <si>
    <t>Levantamiento y análisis de requisitos</t>
  </si>
  <si>
    <t>Recopilar necesidades de los emprendedores sobre inventario, productos y compras.</t>
  </si>
  <si>
    <t>26 ago-1 sep</t>
  </si>
  <si>
    <t>Especificación y documentación de requisitos</t>
  </si>
  <si>
    <t>Documentar requisitos funcionales y no funcionales de la aplicación móvil.</t>
  </si>
  <si>
    <t>Análisis funcional y técnico</t>
  </si>
  <si>
    <t>Definir funcionalidades, tecnologías, integraciones y requerimientos técnicos.</t>
  </si>
  <si>
    <t>2 sep-7 sep</t>
  </si>
  <si>
    <t>Diseño de arquitectura</t>
  </si>
  <si>
    <t>Diseñar la arquitectura de la app móvil, backend, base de datos y módulo de IA.</t>
  </si>
  <si>
    <t>2 sep-14 sep</t>
  </si>
  <si>
    <t>Diseño de base de datos</t>
  </si>
  <si>
    <t>Diseñar tablas y relaciones para usuarios, productos, categorías y movimientos.</t>
  </si>
  <si>
    <t>8 sep-14 sep</t>
  </si>
  <si>
    <t>Diseño de interfaz y experiencia de usuario</t>
  </si>
  <si>
    <t>Diseñar pantallas y navegación intuitiva para los emprendedores.</t>
  </si>
  <si>
    <t>Diseño detallado de la solución</t>
  </si>
  <si>
    <t>Definir componentes, módulos, flujos y comunicación entre partes.</t>
  </si>
  <si>
    <t>8 sep-21 sep</t>
  </si>
  <si>
    <t>Configuración del entorno de desarrollo</t>
  </si>
  <si>
    <t>Preparar herramientas, repositorio, dependencias y ambientes de desarrollo.</t>
  </si>
  <si>
    <t>Desarrollo / programación</t>
  </si>
  <si>
    <t>Programar usuarios, productos, inventario, movimientos y alertas.</t>
  </si>
  <si>
    <t>15 sep-10 oct</t>
  </si>
  <si>
    <t>Integración de componentes</t>
  </si>
  <si>
    <t>Integrar aplicación móvil, backend y base de datos.</t>
  </si>
  <si>
    <t>5 oct-17 oct</t>
  </si>
  <si>
    <t>Gestión de código fuente y versiones</t>
  </si>
  <si>
    <t>Controlar versiones, cambios y respaldos del código fuente.</t>
  </si>
  <si>
    <t>15 sep-17 oct</t>
  </si>
  <si>
    <t>Desarrollo del módulo de IA</t>
  </si>
  <si>
    <t>Preparar datos, entrenar el modelo y generar predicciones de productos a comprar.</t>
  </si>
  <si>
    <t>22 sep-17 oct</t>
  </si>
  <si>
    <t>Integración del módulo de IA</t>
  </si>
  <si>
    <t>Integrar las recomendaciones de compra dentro de la aplicación.</t>
  </si>
  <si>
    <t>11 oct-24 oct</t>
  </si>
  <si>
    <t>Pruebas unitarias</t>
  </si>
  <si>
    <t>Comprobar individualmente cada función y componente.</t>
  </si>
  <si>
    <t>18 oct-24 oct</t>
  </si>
  <si>
    <t>Pruebas de integración</t>
  </si>
  <si>
    <t>Verificar la comunicación entre aplicación, backend, base de datos e IA.</t>
  </si>
  <si>
    <t>Pruebas funcionales</t>
  </si>
  <si>
    <t>Validar que las funcionalidades cumplan los requisitos definidos.</t>
  </si>
  <si>
    <t>25 oct-30 oct</t>
  </si>
  <si>
    <t>Pruebas de sistema</t>
  </si>
  <si>
    <t>Evaluar la plataforma completa en condiciones de uso real.</t>
  </si>
  <si>
    <t>Corrección de defectos</t>
  </si>
  <si>
    <t>Corregir errores encontrados y repetir las pruebas necesarias.</t>
  </si>
  <si>
    <t>25 oct-6 nov</t>
  </si>
  <si>
    <t>Pruebas de precisión del modelo de IA</t>
  </si>
  <si>
    <t>Evaluar la precisión de las predicciones y ajustar el modelo si es necesario.</t>
  </si>
  <si>
    <t>Pruebas de usabilidad</t>
  </si>
  <si>
    <t>Comprobar que la aplicación sea intuitiva, clara y fácil de utilizar.</t>
  </si>
  <si>
    <t>31 oct-6 nov</t>
  </si>
  <si>
    <t>Implementación de la plataforma</t>
  </si>
  <si>
    <t>Poner en funcionamiento la aplicación y sus servicios.</t>
  </si>
  <si>
    <t>Capacitación de usuarios</t>
  </si>
  <si>
    <t>Capacitar a los emprendedores en el uso del inventario y las predicciones.</t>
  </si>
  <si>
    <t>7 nov-12 nov</t>
  </si>
  <si>
    <t>Seguimiento y monitoreo</t>
  </si>
  <si>
    <t>Verificar funcionamiento y recopilar observaciones de los usuarios.</t>
  </si>
  <si>
    <t>7 nov-19 nov</t>
  </si>
  <si>
    <t>Cierre del proyecto</t>
  </si>
  <si>
    <t>Documentar resultados, entregables, lecciones aprendidas y cierre formal.</t>
  </si>
  <si>
    <t>13 nov-19nov</t>
  </si>
  <si>
    <t>SUBTOTAL</t>
  </si>
  <si>
    <t>Asociado</t>
  </si>
  <si>
    <t>Sueldo</t>
  </si>
  <si>
    <t>Valor Hora</t>
  </si>
  <si>
    <t>ID</t>
  </si>
  <si>
    <t>Nombre</t>
  </si>
  <si>
    <t>Descripción</t>
  </si>
  <si>
    <t>Valor</t>
  </si>
  <si>
    <t>Cantidad</t>
  </si>
  <si>
    <t>Valor Unitario</t>
  </si>
  <si>
    <t>Valor unitario</t>
  </si>
  <si>
    <r>
      <t>Cristian Felipe Gómez</t>
    </r>
    <r>
      <rPr>
        <sz val="12"/>
        <color theme="1"/>
        <rFont val="Calibri"/>
        <family val="2"/>
        <scheme val="minor"/>
      </rPr>
      <t xml:space="preserve"> : </t>
    </r>
  </si>
  <si>
    <t>E01</t>
  </si>
  <si>
    <t>Computador</t>
  </si>
  <si>
    <t>Computador Portátil Gamer HP Victus 15.6" Fa2014la (Intel Core i5)</t>
  </si>
  <si>
    <t>M01</t>
  </si>
  <si>
    <t>Resma de papel</t>
  </si>
  <si>
    <t>INF00</t>
  </si>
  <si>
    <t xml:space="preserve">Servidor Físico NAS </t>
  </si>
  <si>
    <t>1 Unidad</t>
  </si>
  <si>
    <r>
      <t>Juan David Martínez Ortiz</t>
    </r>
    <r>
      <rPr>
        <sz val="12"/>
        <color theme="1"/>
        <rFont val="Calibri"/>
        <family val="2"/>
        <scheme val="minor"/>
      </rPr>
      <t xml:space="preserve"> ): </t>
    </r>
  </si>
  <si>
    <t>Lenovo LOQ 15IRX9 (Intel Core i5-13450HX, 16 GB RAM DDR5, 512 GB SSD, Gráficos RTX 3050)</t>
  </si>
  <si>
    <t>M02</t>
  </si>
  <si>
    <t>Caja de esferos</t>
  </si>
  <si>
    <t>INF01</t>
  </si>
  <si>
    <t>Alquiler de Coworking</t>
  </si>
  <si>
    <t>(3 meses, 6 puestos)</t>
  </si>
  <si>
    <r>
      <t>Yudy Mayerli Gutierrez</t>
    </r>
    <r>
      <rPr>
        <sz val="12"/>
        <color theme="1"/>
        <rFont val="Calibri"/>
        <family val="2"/>
        <scheme val="minor"/>
      </rPr>
      <t>:</t>
    </r>
  </si>
  <si>
    <t>Lenovo Ideapad Slim 3 15IRH10 (Intel Core i5, 16 GB RAM, 512 GB SSD)</t>
  </si>
  <si>
    <t>M03</t>
  </si>
  <si>
    <t>USB</t>
  </si>
  <si>
    <t>INF02</t>
  </si>
  <si>
    <t>Trámite de registro de software ante la SIC</t>
  </si>
  <si>
    <r>
      <t>Fabian Acosta</t>
    </r>
    <r>
      <rPr>
        <sz val="12"/>
        <color theme="1"/>
        <rFont val="Calibri"/>
        <family val="2"/>
        <scheme val="minor"/>
      </rPr>
      <t xml:space="preserve">  </t>
    </r>
  </si>
  <si>
    <t>E04</t>
  </si>
  <si>
    <t>Asus Vivobook 16 (Intel Core i5-13420H, 16 GB RAM, 512 GB SSD)</t>
  </si>
  <si>
    <t>M04</t>
  </si>
  <si>
    <t>Carpeta</t>
  </si>
  <si>
    <t>INF03</t>
  </si>
  <si>
    <t xml:space="preserve">Sistema UPS 3kVA </t>
  </si>
  <si>
    <r>
      <t>Luisa Rojas Guzmán</t>
    </r>
    <r>
      <rPr>
        <sz val="12"/>
        <color theme="1"/>
        <rFont val="Calibri"/>
        <family val="2"/>
        <scheme val="minor"/>
      </rPr>
      <t xml:space="preserve">  </t>
    </r>
  </si>
  <si>
    <t>E05</t>
  </si>
  <si>
    <t>M05</t>
  </si>
  <si>
    <t>Cafetera</t>
  </si>
  <si>
    <t>Total</t>
  </si>
  <si>
    <t>E06</t>
  </si>
  <si>
    <t>Pantalla</t>
  </si>
  <si>
    <t>Monitor SAMSUNG 27" Pulgadas F320 FHD Plano Negro</t>
  </si>
  <si>
    <t>M06</t>
  </si>
  <si>
    <t>Refrijerio (1 semanal)</t>
  </si>
  <si>
    <t>E07</t>
  </si>
  <si>
    <t xml:space="preserve">Total </t>
  </si>
  <si>
    <t>E08</t>
  </si>
  <si>
    <t>E09</t>
  </si>
  <si>
    <t>Software</t>
  </si>
  <si>
    <t>GitHub Copilot Business (6 meses):</t>
  </si>
  <si>
    <t>E10</t>
  </si>
  <si>
    <t>Figma Professional UI/UX (6 meses)</t>
  </si>
  <si>
    <t>E11</t>
  </si>
  <si>
    <t>OpenAI ChatGPT Team</t>
  </si>
  <si>
    <t>E12</t>
  </si>
  <si>
    <t>Claude Pro / Team</t>
  </si>
  <si>
    <t>E13</t>
  </si>
  <si>
    <t>Google One AI Premium</t>
  </si>
  <si>
    <t>listas desplegables</t>
  </si>
  <si>
    <t>SI / NO</t>
  </si>
  <si>
    <t>PRIORIDAD</t>
  </si>
  <si>
    <t>Si</t>
  </si>
  <si>
    <t>Baja</t>
  </si>
  <si>
    <t>No</t>
  </si>
  <si>
    <t>Media</t>
  </si>
  <si>
    <t>Alta</t>
  </si>
  <si>
    <t>Requiere Revisión</t>
  </si>
  <si>
    <t>Aprobado</t>
  </si>
  <si>
    <t>Atrasado</t>
  </si>
  <si>
    <t>En Espera</t>
  </si>
  <si>
    <t>Santiago Falla Perdomo</t>
  </si>
  <si>
    <t>E14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</si>
</sst>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&quot;$&quot;#,##0_);\(&quot;$&quot;#,##0\)"/>
    <numFmt numFmtId="165" formatCode="&quot;$&quot;#,##0.00_);\(&quot;$&quot;#,##0.00\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0.0"/>
    <numFmt numFmtId="169" formatCode="mm/dd/yy;@"/>
    <numFmt numFmtId="170" formatCode="_(&quot;$&quot;* #,##0_);_(&quot;$&quot;* \(#,##0\);_(&quot;$&quot;* &quot;-&quot;??_);_(@_)"/>
    <numFmt numFmtId="171" formatCode="0.0%"/>
    <numFmt numFmtId="172" formatCode="[$-F800]dddd\,\ mmmm\ dd\,\ yyyy"/>
  </numFmts>
  <fonts count="25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0"/>
      <color theme="0"/>
      <name val="Century Gothic"/>
      <family val="1"/>
    </font>
    <font>
      <sz val="10"/>
      <name val="Century Gothic"/>
      <family val="1"/>
    </font>
    <font>
      <sz val="10"/>
      <color theme="1"/>
      <name val="Century Gothic"/>
      <family val="1"/>
    </font>
    <font>
      <b/>
      <sz val="10"/>
      <name val="Century Gothic"/>
      <family val="1"/>
    </font>
    <font>
      <b/>
      <sz val="20"/>
      <color theme="0" tint="-0.499984740745262"/>
      <name val="Century Gothic"/>
      <family val="1"/>
    </font>
    <font>
      <sz val="11"/>
      <color theme="1"/>
      <name val="Calibri"/>
      <family val="2"/>
      <scheme val="minor"/>
    </font>
    <font>
      <b/>
      <sz val="22"/>
      <color theme="1" tint="0.34998626667073579"/>
      <name val="Century Gothic"/>
      <family val="1"/>
    </font>
    <font>
      <sz val="10"/>
      <color rgb="FF000000"/>
      <name val="Century Gothic"/>
      <family val="1"/>
    </font>
    <font>
      <b/>
      <sz val="10"/>
      <color theme="0"/>
      <name val="Century Gothic"/>
      <family val="2"/>
    </font>
    <font>
      <sz val="10"/>
      <name val="Century Gothic"/>
      <family val="2"/>
    </font>
    <font>
      <sz val="11"/>
      <color indexed="8"/>
      <name val="Century Gothic"/>
      <family val="1"/>
    </font>
    <font>
      <b/>
      <sz val="10"/>
      <color theme="1"/>
      <name val="Century Gothic"/>
      <family val="1"/>
    </font>
    <font>
      <sz val="22"/>
      <color theme="1" tint="0.34998626667073579"/>
      <name val="Century Gothic"/>
      <family val="1"/>
    </font>
    <font>
      <b/>
      <sz val="24"/>
      <color theme="1" tint="0.34998626667073579"/>
      <name val="Century Gothic"/>
      <family val="1"/>
    </font>
    <font>
      <sz val="12"/>
      <color theme="1" tint="0.34998626667073579"/>
      <name val="Century Gothic"/>
      <family val="1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1"/>
      <color rgb="FFFFFFFF"/>
      <name val="Arial"/>
      <family val="2"/>
    </font>
    <font>
      <b/>
      <sz val="11"/>
      <name val="Arial"/>
      <family val="2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5EE9E7"/>
        <bgColor indexed="64"/>
      </patternFill>
    </fill>
    <fill>
      <patternFill patternType="solid">
        <fgColor rgb="FFABEFE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EAF0"/>
        <bgColor indexed="64"/>
      </patternFill>
    </fill>
    <fill>
      <patternFill patternType="solid">
        <fgColor rgb="FFB6FBF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FFFFFF"/>
      </patternFill>
    </fill>
    <fill>
      <patternFill patternType="solid">
        <fgColor rgb="FFF4B942"/>
      </patternFill>
    </fill>
  </fills>
  <borders count="34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ck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medium">
        <color theme="0" tint="-0.34998626667073579"/>
      </top>
      <bottom style="thin">
        <color theme="0" tint="-0.249977111117893"/>
      </bottom>
      <diagonal/>
    </border>
    <border>
      <left/>
      <right/>
      <top style="medium">
        <color theme="0" tint="-0.34998626667073579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double">
        <color theme="0" tint="-0.34998626667073579"/>
      </right>
      <top style="medium">
        <color theme="0" tint="-0.34998626667073579"/>
      </top>
      <bottom style="thin">
        <color theme="0" tint="-0.249977111117893"/>
      </bottom>
      <diagonal/>
    </border>
    <border>
      <left style="thin">
        <color theme="0" tint="-0.249977111117893"/>
      </left>
      <right style="double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medium">
        <color theme="0" tint="-0.34998626667073579"/>
      </right>
      <top/>
      <bottom style="thin">
        <color theme="0" tint="-0.249977111117893"/>
      </bottom>
      <diagonal/>
    </border>
    <border>
      <left style="double">
        <color theme="0" tint="-0.34998626667073579"/>
      </left>
      <right/>
      <top style="medium">
        <color theme="0" tint="-0.34998626667073579"/>
      </top>
      <bottom style="thin">
        <color theme="0" tint="-0.249977111117893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theme="0" tint="-0.249977111117893"/>
      </bottom>
      <diagonal/>
    </border>
    <border>
      <left/>
      <right style="medium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 style="double">
        <color theme="0" tint="-0.34998626667073579"/>
      </left>
      <right style="dashed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dashed">
        <color theme="0" tint="-0.34998626667073579"/>
      </right>
      <top/>
      <bottom/>
      <diagonal/>
    </border>
    <border>
      <left style="thin">
        <color theme="0" tint="-0.249977111117893"/>
      </left>
      <right style="dashed">
        <color theme="0" tint="-0.34998626667073579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dashed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AAAAAA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AAAAAA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166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8" fillId="0" borderId="0"/>
  </cellStyleXfs>
  <cellXfs count="127">
    <xf numFmtId="0" fontId="0" fillId="0" borderId="0" xfId="0"/>
    <xf numFmtId="168" fontId="4" fillId="3" borderId="0" xfId="0" applyNumberFormat="1" applyFont="1" applyFill="1" applyAlignment="1" applyProtection="1">
      <alignment wrapText="1"/>
      <protection locked="0"/>
    </xf>
    <xf numFmtId="165" fontId="4" fillId="3" borderId="0" xfId="1" applyNumberFormat="1" applyFont="1" applyFill="1" applyBorder="1" applyAlignment="1" applyProtection="1">
      <alignment wrapText="1"/>
      <protection locked="0"/>
    </xf>
    <xf numFmtId="167" fontId="6" fillId="3" borderId="0" xfId="0" applyNumberFormat="1" applyFont="1" applyFill="1" applyAlignment="1" applyProtection="1">
      <alignment horizontal="left" vertical="top" wrapText="1"/>
      <protection locked="0"/>
    </xf>
    <xf numFmtId="0" fontId="5" fillId="3" borderId="0" xfId="0" applyFont="1" applyFill="1" applyAlignment="1">
      <alignment wrapText="1"/>
    </xf>
    <xf numFmtId="0" fontId="5" fillId="0" borderId="0" xfId="0" applyFont="1" applyAlignment="1">
      <alignment wrapText="1"/>
    </xf>
    <xf numFmtId="0" fontId="3" fillId="3" borderId="0" xfId="0" applyFont="1" applyFill="1" applyAlignment="1">
      <alignment horizontal="center" wrapText="1"/>
    </xf>
    <xf numFmtId="167" fontId="4" fillId="3" borderId="0" xfId="1" applyNumberFormat="1" applyFont="1" applyFill="1" applyBorder="1" applyAlignment="1" applyProtection="1">
      <alignment wrapText="1"/>
    </xf>
    <xf numFmtId="0" fontId="7" fillId="3" borderId="0" xfId="0" applyFont="1" applyFill="1" applyAlignment="1">
      <alignment vertical="center"/>
    </xf>
    <xf numFmtId="0" fontId="5" fillId="3" borderId="0" xfId="0" applyFont="1" applyFill="1" applyAlignment="1">
      <alignment horizontal="left" vertical="center" wrapText="1" indent="1"/>
    </xf>
    <xf numFmtId="0" fontId="5" fillId="0" borderId="0" xfId="0" applyFont="1" applyAlignment="1">
      <alignment horizontal="left" vertical="center" wrapText="1" indent="1"/>
    </xf>
    <xf numFmtId="0" fontId="3" fillId="3" borderId="0" xfId="0" applyFont="1" applyFill="1" applyAlignment="1">
      <alignment horizontal="left" vertical="center" wrapText="1" indent="1"/>
    </xf>
    <xf numFmtId="168" fontId="4" fillId="3" borderId="0" xfId="0" applyNumberFormat="1" applyFont="1" applyFill="1" applyAlignment="1" applyProtection="1">
      <alignment horizontal="left" vertical="center" wrapText="1" indent="1"/>
      <protection locked="0"/>
    </xf>
    <xf numFmtId="165" fontId="4" fillId="3" borderId="0" xfId="1" applyNumberFormat="1" applyFont="1" applyFill="1" applyBorder="1" applyAlignment="1" applyProtection="1">
      <alignment horizontal="left" vertical="center" wrapText="1" indent="1"/>
      <protection locked="0"/>
    </xf>
    <xf numFmtId="167" fontId="4" fillId="3" borderId="0" xfId="1" applyNumberFormat="1" applyFont="1" applyFill="1" applyBorder="1" applyAlignment="1" applyProtection="1">
      <alignment horizontal="left" vertical="center" wrapText="1" indent="1"/>
    </xf>
    <xf numFmtId="167" fontId="6" fillId="3" borderId="0" xfId="0" applyNumberFormat="1" applyFont="1" applyFill="1" applyAlignment="1" applyProtection="1">
      <alignment horizontal="left" vertical="center" wrapText="1" indent="1"/>
      <protection locked="0"/>
    </xf>
    <xf numFmtId="0" fontId="5" fillId="3" borderId="1" xfId="0" applyFont="1" applyFill="1" applyBorder="1" applyAlignment="1">
      <alignment horizontal="left" vertical="center" wrapText="1" indent="1"/>
    </xf>
    <xf numFmtId="0" fontId="5" fillId="0" borderId="1" xfId="0" applyFont="1" applyBorder="1" applyAlignment="1">
      <alignment horizontal="left" vertical="center" wrapText="1" indent="1"/>
    </xf>
    <xf numFmtId="0" fontId="5" fillId="8" borderId="1" xfId="0" applyFont="1" applyFill="1" applyBorder="1" applyAlignment="1">
      <alignment horizontal="left" vertical="center" wrapText="1" indent="1"/>
    </xf>
    <xf numFmtId="0" fontId="11" fillId="2" borderId="2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left" vertical="center" wrapText="1" indent="1"/>
    </xf>
    <xf numFmtId="169" fontId="11" fillId="5" borderId="1" xfId="0" applyNumberFormat="1" applyFont="1" applyFill="1" applyBorder="1" applyAlignment="1">
      <alignment horizontal="left" vertical="center" wrapText="1" indent="1"/>
    </xf>
    <xf numFmtId="0" fontId="9" fillId="3" borderId="0" xfId="0" applyFont="1" applyFill="1" applyAlignment="1">
      <alignment vertical="center"/>
    </xf>
    <xf numFmtId="0" fontId="13" fillId="0" borderId="0" xfId="0" applyFont="1"/>
    <xf numFmtId="0" fontId="5" fillId="7" borderId="1" xfId="0" applyFont="1" applyFill="1" applyBorder="1" applyAlignment="1">
      <alignment horizontal="left" vertical="center" wrapText="1" indent="1"/>
    </xf>
    <xf numFmtId="0" fontId="5" fillId="10" borderId="1" xfId="0" applyFont="1" applyFill="1" applyBorder="1" applyAlignment="1">
      <alignment horizontal="left" vertical="center" wrapText="1" indent="1"/>
    </xf>
    <xf numFmtId="0" fontId="5" fillId="11" borderId="1" xfId="0" applyFont="1" applyFill="1" applyBorder="1" applyAlignment="1">
      <alignment horizontal="left" vertical="center" wrapText="1" indent="1"/>
    </xf>
    <xf numFmtId="0" fontId="10" fillId="12" borderId="1" xfId="0" applyFont="1" applyFill="1" applyBorder="1" applyAlignment="1">
      <alignment horizontal="left" vertical="center" indent="1"/>
    </xf>
    <xf numFmtId="0" fontId="10" fillId="13" borderId="1" xfId="0" applyFont="1" applyFill="1" applyBorder="1" applyAlignment="1">
      <alignment horizontal="left" vertical="center" indent="1"/>
    </xf>
    <xf numFmtId="0" fontId="10" fillId="7" borderId="1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left" vertical="center" indent="1"/>
    </xf>
    <xf numFmtId="0" fontId="10" fillId="15" borderId="1" xfId="0" applyFont="1" applyFill="1" applyBorder="1" applyAlignment="1">
      <alignment horizontal="center" vertical="center"/>
    </xf>
    <xf numFmtId="0" fontId="14" fillId="7" borderId="3" xfId="0" applyFont="1" applyFill="1" applyBorder="1" applyAlignment="1">
      <alignment horizontal="center" vertical="center" wrapText="1"/>
    </xf>
    <xf numFmtId="0" fontId="15" fillId="3" borderId="0" xfId="0" applyFont="1" applyFill="1" applyAlignment="1">
      <alignment vertical="center"/>
    </xf>
    <xf numFmtId="0" fontId="16" fillId="3" borderId="0" xfId="0" applyFont="1" applyFill="1" applyAlignment="1">
      <alignment vertical="center"/>
    </xf>
    <xf numFmtId="0" fontId="11" fillId="2" borderId="2" xfId="0" applyFont="1" applyFill="1" applyBorder="1" applyAlignment="1">
      <alignment horizontal="left" vertical="center" wrapText="1" indent="1"/>
    </xf>
    <xf numFmtId="0" fontId="5" fillId="4" borderId="1" xfId="0" applyFont="1" applyFill="1" applyBorder="1" applyAlignment="1">
      <alignment horizontal="left" vertical="center" wrapText="1" indent="1"/>
    </xf>
    <xf numFmtId="0" fontId="5" fillId="0" borderId="1" xfId="0" applyFont="1" applyBorder="1" applyAlignment="1" applyProtection="1">
      <alignment horizontal="left" vertical="center" wrapText="1" indent="1"/>
      <protection locked="0"/>
    </xf>
    <xf numFmtId="0" fontId="3" fillId="5" borderId="1" xfId="0" applyFont="1" applyFill="1" applyBorder="1" applyAlignment="1">
      <alignment horizontal="left" vertical="center" wrapText="1" indent="1"/>
    </xf>
    <xf numFmtId="165" fontId="11" fillId="5" borderId="1" xfId="1" applyNumberFormat="1" applyFont="1" applyFill="1" applyBorder="1" applyAlignment="1" applyProtection="1">
      <alignment vertical="center"/>
      <protection locked="0"/>
    </xf>
    <xf numFmtId="0" fontId="17" fillId="3" borderId="0" xfId="0" applyFont="1" applyFill="1" applyAlignment="1">
      <alignment vertical="center"/>
    </xf>
    <xf numFmtId="164" fontId="11" fillId="5" borderId="1" xfId="0" applyNumberFormat="1" applyFont="1" applyFill="1" applyBorder="1" applyAlignment="1" applyProtection="1">
      <alignment vertical="center"/>
      <protection locked="0"/>
    </xf>
    <xf numFmtId="169" fontId="5" fillId="0" borderId="1" xfId="0" applyNumberFormat="1" applyFont="1" applyBorder="1" applyAlignment="1" applyProtection="1">
      <alignment horizontal="left" vertical="center" wrapText="1" indent="1"/>
      <protection locked="0"/>
    </xf>
    <xf numFmtId="168" fontId="4" fillId="0" borderId="1" xfId="0" applyNumberFormat="1" applyFont="1" applyBorder="1" applyAlignment="1" applyProtection="1">
      <alignment horizontal="center" vertical="center"/>
      <protection locked="0"/>
    </xf>
    <xf numFmtId="165" fontId="4" fillId="0" borderId="1" xfId="1" applyNumberFormat="1" applyFont="1" applyFill="1" applyBorder="1" applyAlignment="1" applyProtection="1">
      <alignment horizontal="right" vertical="center"/>
      <protection locked="0"/>
    </xf>
    <xf numFmtId="164" fontId="4" fillId="0" borderId="1" xfId="0" applyNumberFormat="1" applyFont="1" applyBorder="1" applyAlignment="1" applyProtection="1">
      <alignment horizontal="right" vertical="center"/>
      <protection locked="0"/>
    </xf>
    <xf numFmtId="0" fontId="11" fillId="2" borderId="10" xfId="0" applyFont="1" applyFill="1" applyBorder="1" applyAlignment="1">
      <alignment horizontal="center" vertical="center" wrapText="1"/>
    </xf>
    <xf numFmtId="164" fontId="11" fillId="5" borderId="10" xfId="1" applyNumberFormat="1" applyFont="1" applyFill="1" applyBorder="1" applyAlignment="1" applyProtection="1">
      <alignment vertical="center"/>
      <protection locked="0"/>
    </xf>
    <xf numFmtId="0" fontId="11" fillId="2" borderId="8" xfId="0" applyFont="1" applyFill="1" applyBorder="1" applyAlignment="1">
      <alignment horizontal="center" vertical="center" wrapText="1"/>
    </xf>
    <xf numFmtId="168" fontId="12" fillId="5" borderId="8" xfId="0" applyNumberFormat="1" applyFont="1" applyFill="1" applyBorder="1" applyAlignment="1" applyProtection="1">
      <alignment horizontal="left" vertical="center"/>
      <protection locked="0"/>
    </xf>
    <xf numFmtId="0" fontId="11" fillId="2" borderId="11" xfId="0" applyFont="1" applyFill="1" applyBorder="1" applyAlignment="1">
      <alignment horizontal="center" vertical="center" wrapText="1"/>
    </xf>
    <xf numFmtId="170" fontId="11" fillId="5" borderId="14" xfId="1" applyNumberFormat="1" applyFont="1" applyFill="1" applyBorder="1" applyAlignment="1" applyProtection="1">
      <alignment vertical="center"/>
      <protection locked="0"/>
    </xf>
    <xf numFmtId="0" fontId="11" fillId="2" borderId="14" xfId="0" applyFont="1" applyFill="1" applyBorder="1" applyAlignment="1">
      <alignment horizontal="center" vertical="center" wrapText="1"/>
    </xf>
    <xf numFmtId="0" fontId="11" fillId="2" borderId="15" xfId="0" applyFont="1" applyFill="1" applyBorder="1" applyAlignment="1">
      <alignment horizontal="center" vertical="center" wrapText="1"/>
    </xf>
    <xf numFmtId="170" fontId="11" fillId="5" borderId="15" xfId="1" applyNumberFormat="1" applyFont="1" applyFill="1" applyBorder="1" applyAlignment="1" applyProtection="1">
      <alignment vertical="center"/>
    </xf>
    <xf numFmtId="0" fontId="17" fillId="3" borderId="16" xfId="0" applyFont="1" applyFill="1" applyBorder="1" applyAlignment="1">
      <alignment vertical="center"/>
    </xf>
    <xf numFmtId="0" fontId="11" fillId="2" borderId="17" xfId="0" applyFont="1" applyFill="1" applyBorder="1" applyAlignment="1">
      <alignment horizontal="center" vertical="center" wrapText="1"/>
    </xf>
    <xf numFmtId="169" fontId="11" fillId="5" borderId="18" xfId="0" applyNumberFormat="1" applyFont="1" applyFill="1" applyBorder="1" applyAlignment="1">
      <alignment horizontal="left" vertical="center" wrapText="1" indent="1"/>
    </xf>
    <xf numFmtId="169" fontId="5" fillId="4" borderId="1" xfId="0" applyNumberFormat="1" applyFont="1" applyFill="1" applyBorder="1" applyAlignment="1">
      <alignment horizontal="left" vertical="center" wrapText="1" indent="1"/>
    </xf>
    <xf numFmtId="169" fontId="5" fillId="4" borderId="18" xfId="0" applyNumberFormat="1" applyFont="1" applyFill="1" applyBorder="1" applyAlignment="1">
      <alignment horizontal="left" vertical="center" wrapText="1" indent="1"/>
    </xf>
    <xf numFmtId="0" fontId="5" fillId="4" borderId="8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5" fillId="4" borderId="10" xfId="0" applyFont="1" applyFill="1" applyBorder="1" applyAlignment="1">
      <alignment horizontal="center" vertical="center"/>
    </xf>
    <xf numFmtId="0" fontId="5" fillId="4" borderId="15" xfId="0" applyFont="1" applyFill="1" applyBorder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168" fontId="4" fillId="0" borderId="8" xfId="0" applyNumberFormat="1" applyFont="1" applyBorder="1" applyAlignment="1" applyProtection="1">
      <alignment horizontal="center" vertical="center"/>
      <protection locked="0"/>
    </xf>
    <xf numFmtId="164" fontId="4" fillId="4" borderId="1" xfId="1" applyNumberFormat="1" applyFont="1" applyFill="1" applyBorder="1" applyAlignment="1" applyProtection="1">
      <alignment horizontal="right" vertical="center"/>
      <protection locked="0"/>
    </xf>
    <xf numFmtId="164" fontId="4" fillId="0" borderId="10" xfId="1" applyNumberFormat="1" applyFont="1" applyFill="1" applyBorder="1" applyAlignment="1" applyProtection="1">
      <alignment vertical="center"/>
      <protection locked="0"/>
    </xf>
    <xf numFmtId="170" fontId="5" fillId="0" borderId="15" xfId="1" applyNumberFormat="1" applyFont="1" applyFill="1" applyBorder="1" applyAlignment="1" applyProtection="1">
      <alignment vertical="center"/>
    </xf>
    <xf numFmtId="170" fontId="4" fillId="6" borderId="14" xfId="1" applyNumberFormat="1" applyFont="1" applyFill="1" applyBorder="1" applyAlignment="1" applyProtection="1">
      <alignment horizontal="left" vertical="center"/>
      <protection locked="0"/>
    </xf>
    <xf numFmtId="170" fontId="5" fillId="7" borderId="14" xfId="1" applyNumberFormat="1" applyFont="1" applyFill="1" applyBorder="1" applyAlignment="1" applyProtection="1">
      <alignment horizontal="left" vertical="center"/>
    </xf>
    <xf numFmtId="0" fontId="5" fillId="16" borderId="1" xfId="0" applyFont="1" applyFill="1" applyBorder="1" applyAlignment="1">
      <alignment horizontal="left" vertical="center" wrapText="1" indent="1"/>
    </xf>
    <xf numFmtId="0" fontId="10" fillId="17" borderId="1" xfId="0" applyFont="1" applyFill="1" applyBorder="1" applyAlignment="1">
      <alignment horizontal="left" vertical="center" wrapText="1" indent="1" readingOrder="1"/>
    </xf>
    <xf numFmtId="0" fontId="10" fillId="18" borderId="1" xfId="0" applyFont="1" applyFill="1" applyBorder="1" applyAlignment="1">
      <alignment horizontal="left" vertical="center" wrapText="1" indent="1" readingOrder="1"/>
    </xf>
    <xf numFmtId="0" fontId="18" fillId="19" borderId="19" xfId="0" applyFont="1" applyFill="1" applyBorder="1" applyAlignment="1">
      <alignment horizontal="center" vertical="center" wrapText="1"/>
    </xf>
    <xf numFmtId="0" fontId="19" fillId="20" borderId="19" xfId="0" applyFont="1" applyFill="1" applyBorder="1" applyAlignment="1">
      <alignment horizontal="center" vertical="center" wrapText="1"/>
    </xf>
    <xf numFmtId="0" fontId="19" fillId="20" borderId="19" xfId="0" applyFont="1" applyFill="1" applyBorder="1" applyAlignment="1">
      <alignment horizontal="left" vertical="center" wrapText="1"/>
    </xf>
    <xf numFmtId="3" fontId="19" fillId="20" borderId="19" xfId="0" applyNumberFormat="1" applyFont="1" applyFill="1" applyBorder="1" applyAlignment="1">
      <alignment horizontal="right" vertical="center"/>
    </xf>
    <xf numFmtId="171" fontId="19" fillId="20" borderId="19" xfId="0" applyNumberFormat="1" applyFont="1" applyFill="1" applyBorder="1" applyAlignment="1">
      <alignment horizontal="center" vertical="center" wrapText="1"/>
    </xf>
    <xf numFmtId="0" fontId="19" fillId="21" borderId="19" xfId="0" applyFont="1" applyFill="1" applyBorder="1" applyAlignment="1">
      <alignment horizontal="center" vertical="center" wrapText="1"/>
    </xf>
    <xf numFmtId="0" fontId="19" fillId="21" borderId="19" xfId="0" applyFont="1" applyFill="1" applyBorder="1" applyAlignment="1">
      <alignment horizontal="left" vertical="center" wrapText="1"/>
    </xf>
    <xf numFmtId="3" fontId="19" fillId="21" borderId="19" xfId="0" applyNumberFormat="1" applyFont="1" applyFill="1" applyBorder="1" applyAlignment="1">
      <alignment horizontal="right" vertical="center"/>
    </xf>
    <xf numFmtId="171" fontId="19" fillId="21" borderId="19" xfId="0" applyNumberFormat="1" applyFont="1" applyFill="1" applyBorder="1" applyAlignment="1">
      <alignment horizontal="center" vertical="center" wrapText="1"/>
    </xf>
    <xf numFmtId="3" fontId="21" fillId="22" borderId="19" xfId="0" applyNumberFormat="1" applyFont="1" applyFill="1" applyBorder="1" applyAlignment="1">
      <alignment horizontal="right" vertical="center"/>
    </xf>
    <xf numFmtId="171" fontId="21" fillId="22" borderId="19" xfId="0" applyNumberFormat="1" applyFont="1" applyFill="1" applyBorder="1" applyAlignment="1">
      <alignment horizontal="right" vertical="center"/>
    </xf>
    <xf numFmtId="0" fontId="22" fillId="0" borderId="20" xfId="0" applyFont="1" applyBorder="1" applyAlignment="1">
      <alignment horizontal="left" vertical="top" wrapText="1"/>
    </xf>
    <xf numFmtId="0" fontId="22" fillId="0" borderId="21" xfId="0" applyFont="1" applyBorder="1" applyAlignment="1">
      <alignment horizontal="left" vertical="top" wrapText="1"/>
    </xf>
    <xf numFmtId="172" fontId="5" fillId="0" borderId="1" xfId="0" applyNumberFormat="1" applyFont="1" applyBorder="1" applyAlignment="1" applyProtection="1">
      <alignment horizontal="left" vertical="center" wrapText="1" indent="1"/>
      <protection locked="0"/>
    </xf>
    <xf numFmtId="166" fontId="0" fillId="0" borderId="0" xfId="1" applyFont="1"/>
    <xf numFmtId="0" fontId="24" fillId="0" borderId="22" xfId="0" applyFont="1" applyBorder="1"/>
    <xf numFmtId="0" fontId="24" fillId="0" borderId="23" xfId="0" applyFont="1" applyBorder="1"/>
    <xf numFmtId="170" fontId="0" fillId="0" borderId="23" xfId="1" applyNumberFormat="1" applyFont="1" applyBorder="1"/>
    <xf numFmtId="0" fontId="24" fillId="0" borderId="24" xfId="0" applyFont="1" applyBorder="1"/>
    <xf numFmtId="0" fontId="24" fillId="0" borderId="25" xfId="0" applyFont="1" applyBorder="1"/>
    <xf numFmtId="0" fontId="0" fillId="0" borderId="26" xfId="0" applyBorder="1"/>
    <xf numFmtId="0" fontId="0" fillId="0" borderId="22" xfId="0" applyBorder="1"/>
    <xf numFmtId="3" fontId="19" fillId="3" borderId="19" xfId="0" applyNumberFormat="1" applyFont="1" applyFill="1" applyBorder="1" applyAlignment="1">
      <alignment horizontal="right" vertical="center"/>
    </xf>
    <xf numFmtId="3" fontId="19" fillId="4" borderId="19" xfId="0" applyNumberFormat="1" applyFont="1" applyFill="1" applyBorder="1" applyAlignment="1">
      <alignment horizontal="right" vertical="center"/>
    </xf>
    <xf numFmtId="171" fontId="19" fillId="4" borderId="19" xfId="0" applyNumberFormat="1" applyFont="1" applyFill="1" applyBorder="1" applyAlignment="1">
      <alignment horizontal="center" vertical="center" wrapText="1"/>
    </xf>
    <xf numFmtId="0" fontId="19" fillId="4" borderId="19" xfId="0" applyFont="1" applyFill="1" applyBorder="1" applyAlignment="1">
      <alignment horizontal="center" vertical="center" wrapText="1"/>
    </xf>
    <xf numFmtId="0" fontId="19" fillId="3" borderId="19" xfId="0" applyFont="1" applyFill="1" applyBorder="1" applyAlignment="1">
      <alignment horizontal="left" vertical="center" wrapText="1"/>
    </xf>
    <xf numFmtId="171" fontId="19" fillId="3" borderId="19" xfId="0" applyNumberFormat="1" applyFont="1" applyFill="1" applyBorder="1" applyAlignment="1">
      <alignment horizontal="center" vertical="center" wrapText="1"/>
    </xf>
    <xf numFmtId="0" fontId="19" fillId="3" borderId="19" xfId="0" applyFont="1" applyFill="1" applyBorder="1" applyAlignment="1">
      <alignment horizontal="center" vertical="center" wrapText="1"/>
    </xf>
    <xf numFmtId="0" fontId="0" fillId="0" borderId="27" xfId="0" applyBorder="1"/>
    <xf numFmtId="0" fontId="24" fillId="0" borderId="31" xfId="0" applyFont="1" applyBorder="1" applyAlignment="1">
      <alignment horizontal="center"/>
    </xf>
    <xf numFmtId="166" fontId="0" fillId="0" borderId="22" xfId="1" applyFont="1" applyBorder="1"/>
    <xf numFmtId="166" fontId="24" fillId="0" borderId="22" xfId="1" applyFont="1" applyBorder="1"/>
    <xf numFmtId="0" fontId="0" fillId="0" borderId="0" xfId="0" applyAlignment="1">
      <alignment wrapText="1"/>
    </xf>
    <xf numFmtId="0" fontId="0" fillId="3" borderId="22" xfId="0" applyFill="1" applyBorder="1"/>
    <xf numFmtId="170" fontId="24" fillId="0" borderId="23" xfId="1" applyNumberFormat="1" applyFont="1" applyBorder="1"/>
    <xf numFmtId="0" fontId="20" fillId="22" borderId="19" xfId="0" applyFont="1" applyFill="1" applyBorder="1" applyAlignment="1">
      <alignment horizontal="center" vertical="center" wrapText="1"/>
    </xf>
    <xf numFmtId="0" fontId="0" fillId="0" borderId="0" xfId="0"/>
    <xf numFmtId="0" fontId="11" fillId="9" borderId="5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 wrapText="1"/>
    </xf>
    <xf numFmtId="0" fontId="11" fillId="9" borderId="9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11" fillId="9" borderId="12" xfId="0" applyFont="1" applyFill="1" applyBorder="1" applyAlignment="1">
      <alignment horizontal="center" vertical="center" wrapText="1"/>
    </xf>
    <xf numFmtId="0" fontId="11" fillId="9" borderId="13" xfId="0" applyFont="1" applyFill="1" applyBorder="1" applyAlignment="1">
      <alignment horizontal="center" vertical="center" wrapText="1"/>
    </xf>
    <xf numFmtId="0" fontId="19" fillId="20" borderId="30" xfId="0" applyFont="1" applyFill="1" applyBorder="1" applyAlignment="1">
      <alignment horizontal="center" vertical="center" wrapText="1"/>
    </xf>
    <xf numFmtId="0" fontId="19" fillId="20" borderId="28" xfId="0" applyFont="1" applyFill="1" applyBorder="1" applyAlignment="1">
      <alignment horizontal="center" vertical="center" wrapText="1"/>
    </xf>
    <xf numFmtId="0" fontId="19" fillId="20" borderId="29" xfId="0" applyFont="1" applyFill="1" applyBorder="1" applyAlignment="1">
      <alignment horizontal="center" vertical="center" wrapText="1"/>
    </xf>
    <xf numFmtId="0" fontId="24" fillId="0" borderId="31" xfId="0" applyFont="1" applyBorder="1" applyAlignment="1">
      <alignment horizontal="center"/>
    </xf>
    <xf numFmtId="0" fontId="24" fillId="0" borderId="33" xfId="0" applyFont="1" applyBorder="1" applyAlignment="1">
      <alignment horizontal="center"/>
    </xf>
    <xf numFmtId="0" fontId="24" fillId="0" borderId="32" xfId="0" applyFont="1" applyBorder="1" applyAlignment="1">
      <alignment horizontal="center"/>
    </xf>
    <xf numFmtId="0" fontId="24" fillId="0" borderId="27" xfId="0" applyFont="1" applyFill="1" applyBorder="1"/>
  </cellXfs>
  <cellStyles count="8">
    <cellStyle name="Hipervínculo visitado" xfId="6" builtinId="9" hidden="1"/>
    <cellStyle name="Hipervínculo visitado" xfId="4" builtinId="9" hidden="1"/>
    <cellStyle name="Hipervínculo visitado" xfId="5" builtinId="9" hidden="1"/>
    <cellStyle name="Hipervínculo visitado" xfId="3" builtinId="9" hidden="1"/>
    <cellStyle name="Hipervínculo visitado" xfId="2" builtinId="9" hidden="1"/>
    <cellStyle name="Moneda" xfId="1" builtinId="4"/>
    <cellStyle name="Normal" xfId="0" builtinId="0"/>
    <cellStyle name="Normal 2" xfId="7" xr:uid="{096755C3-0BB5-E94E-8E6C-945830891248}"/>
  </cellStyles>
  <dxfs count="27"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EAF0"/>
        </patternFill>
      </fill>
    </dxf>
    <dxf>
      <font>
        <color rgb="FF600000"/>
      </font>
      <fill>
        <patternFill>
          <bgColor rgb="FFFF927C"/>
        </patternFill>
      </fill>
    </dxf>
    <dxf>
      <font>
        <color theme="1"/>
      </font>
      <fill>
        <patternFill>
          <fgColor theme="1"/>
          <bgColor rgb="FFE7FFCA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ABEFEA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5EE9E7"/>
        </patternFill>
      </fill>
    </dxf>
    <dxf>
      <fill>
        <patternFill>
          <bgColor rgb="FFFFF2CC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</dxfs>
  <tableStyles count="0" defaultTableStyle="TableStyleMedium9" defaultPivotStyle="PivotStyleMedium4"/>
  <colors>
    <mruColors>
      <color rgb="FFFFF2CC"/>
      <color rgb="FF5EE9E7"/>
      <color rgb="FFABEFEA"/>
      <color rgb="FF600000"/>
      <color rgb="FF880000"/>
      <color rgb="FFFF927C"/>
      <color rgb="FFFF8B78"/>
      <color rgb="FFE7FFCA"/>
      <color rgb="FFE8EFF9"/>
      <color rgb="FF00BD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IC-Risk-Assessment-and-Control-Template25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Disclaimer-Smartsheet-Templates_Solution1-Tab5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isk Assessment &amp; Control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tenance Work Order"/>
      <sheetName val="BLANK - Maintenance Work Order "/>
      <sheetName val="- Disclaimer -"/>
    </sheetNames>
    <sheetDataSet>
      <sheetData sheetId="0"/>
      <sheetData sheetId="1" refreshError="1"/>
      <sheetData sheetId="2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CA1F2-2597-1742-BA2F-7AF250B49533}">
  <sheetPr>
    <tabColor theme="3" tint="0.59999389629810485"/>
    <pageSetUpPr fitToPage="1"/>
  </sheetPr>
  <dimension ref="A1:AQ429"/>
  <sheetViews>
    <sheetView showGridLines="0" topLeftCell="A2" zoomScale="70" zoomScaleNormal="70" workbookViewId="0">
      <selection activeCell="I9" sqref="I9"/>
    </sheetView>
  </sheetViews>
  <sheetFormatPr baseColWidth="10" defaultColWidth="11" defaultRowHeight="12.5" x14ac:dyDescent="0.25"/>
  <cols>
    <col min="1" max="1" width="3.08203125" style="5" customWidth="1"/>
    <col min="2" max="2" width="59.33203125" style="5" bestFit="1" customWidth="1"/>
    <col min="3" max="3" width="41.08203125" style="5" bestFit="1" customWidth="1"/>
    <col min="4" max="4" width="12" style="5" bestFit="1" customWidth="1"/>
    <col min="5" max="5" width="15.25" style="5" bestFit="1" customWidth="1"/>
    <col min="6" max="6" width="33.25" style="5" bestFit="1" customWidth="1"/>
    <col min="7" max="7" width="32.83203125" style="5" bestFit="1" customWidth="1"/>
    <col min="8" max="8" width="8.58203125" style="5" bestFit="1" customWidth="1"/>
    <col min="9" max="9" width="10.33203125" style="5" bestFit="1" customWidth="1"/>
    <col min="10" max="10" width="14.75" style="5" bestFit="1" customWidth="1"/>
    <col min="11" max="11" width="14.75" style="5" customWidth="1"/>
    <col min="12" max="12" width="8.25" style="5" bestFit="1" customWidth="1"/>
    <col min="13" max="13" width="9.25" style="5" bestFit="1" customWidth="1"/>
    <col min="14" max="14" width="14.5" style="5" bestFit="1" customWidth="1"/>
    <col min="15" max="15" width="14.5" style="5" customWidth="1"/>
    <col min="16" max="16" width="8.5" style="5" bestFit="1" customWidth="1"/>
    <col min="17" max="17" width="10.25" style="5" bestFit="1" customWidth="1"/>
    <col min="18" max="18" width="11.83203125" style="5" customWidth="1"/>
    <col min="19" max="19" width="12.25" style="5" bestFit="1" customWidth="1"/>
    <col min="20" max="20" width="8.08203125" style="5" bestFit="1" customWidth="1"/>
    <col min="21" max="21" width="21.83203125" style="5" bestFit="1" customWidth="1"/>
    <col min="22" max="22" width="3.08203125" style="5" customWidth="1"/>
    <col min="23" max="23" width="11" style="5"/>
    <col min="24" max="24" width="4.75" style="5" bestFit="1" customWidth="1"/>
    <col min="25" max="25" width="13.75" style="5" bestFit="1" customWidth="1"/>
    <col min="26" max="26" width="13.25" style="5" bestFit="1" customWidth="1"/>
    <col min="27" max="27" width="9.75" style="5" bestFit="1" customWidth="1"/>
    <col min="28" max="16384" width="11" style="5"/>
  </cols>
  <sheetData>
    <row r="1" spans="1:43" ht="45" customHeight="1" thickBot="1" x14ac:dyDescent="0.3">
      <c r="A1" s="4"/>
      <c r="B1" s="35" t="s">
        <v>0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8"/>
      <c r="R1" s="8"/>
      <c r="S1" s="8"/>
      <c r="T1" s="8"/>
      <c r="U1" s="8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</row>
    <row r="2" spans="1:43" s="10" customFormat="1" ht="35.15" customHeight="1" x14ac:dyDescent="0.35">
      <c r="A2" s="9"/>
      <c r="B2" s="41" t="s">
        <v>1</v>
      </c>
      <c r="C2" s="41"/>
      <c r="D2" s="41"/>
      <c r="E2" s="41"/>
      <c r="F2" s="41"/>
      <c r="G2" s="56"/>
      <c r="H2" s="115" t="s">
        <v>2</v>
      </c>
      <c r="I2" s="117"/>
      <c r="J2" s="117"/>
      <c r="K2" s="113" t="s">
        <v>3</v>
      </c>
      <c r="L2" s="114"/>
      <c r="M2" s="114"/>
      <c r="N2" s="115"/>
      <c r="O2" s="113" t="s">
        <v>4</v>
      </c>
      <c r="P2" s="114"/>
      <c r="Q2" s="114"/>
      <c r="R2" s="116"/>
      <c r="S2" s="118" t="s">
        <v>5</v>
      </c>
      <c r="T2" s="114"/>
      <c r="U2" s="11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</row>
    <row r="3" spans="1:43" s="10" customFormat="1" ht="35.15" customHeight="1" x14ac:dyDescent="0.35">
      <c r="A3" s="9"/>
      <c r="B3" s="36" t="s">
        <v>6</v>
      </c>
      <c r="C3" s="36" t="s">
        <v>7</v>
      </c>
      <c r="D3" s="36" t="s">
        <v>8</v>
      </c>
      <c r="E3" s="19" t="s">
        <v>9</v>
      </c>
      <c r="F3" s="19" t="s">
        <v>10</v>
      </c>
      <c r="G3" s="57" t="s">
        <v>11</v>
      </c>
      <c r="H3" s="49" t="s">
        <v>12</v>
      </c>
      <c r="I3" s="20" t="s">
        <v>13</v>
      </c>
      <c r="J3" s="20" t="s">
        <v>14</v>
      </c>
      <c r="K3" s="19" t="s">
        <v>15</v>
      </c>
      <c r="L3" s="19" t="s">
        <v>16</v>
      </c>
      <c r="M3" s="19" t="s">
        <v>17</v>
      </c>
      <c r="N3" s="19" t="s">
        <v>18</v>
      </c>
      <c r="O3" s="19" t="s">
        <v>19</v>
      </c>
      <c r="P3" s="19" t="s">
        <v>20</v>
      </c>
      <c r="Q3" s="19" t="s">
        <v>21</v>
      </c>
      <c r="R3" s="47" t="s">
        <v>22</v>
      </c>
      <c r="S3" s="54" t="s">
        <v>23</v>
      </c>
      <c r="T3" s="53" t="s">
        <v>24</v>
      </c>
      <c r="U3" s="51" t="s">
        <v>25</v>
      </c>
      <c r="V3" s="9"/>
      <c r="W3" s="9"/>
      <c r="X3" s="75" t="s">
        <v>26</v>
      </c>
      <c r="Y3" s="75" t="s">
        <v>27</v>
      </c>
      <c r="Z3" s="75" t="s">
        <v>28</v>
      </c>
      <c r="AA3" s="75" t="s">
        <v>29</v>
      </c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</row>
    <row r="4" spans="1:43" s="10" customFormat="1" ht="30" customHeight="1" x14ac:dyDescent="0.35">
      <c r="A4" s="9"/>
      <c r="B4" s="37" t="s">
        <v>30</v>
      </c>
      <c r="C4" s="37"/>
      <c r="D4" s="37"/>
      <c r="E4" s="59"/>
      <c r="F4" s="59"/>
      <c r="G4" s="60"/>
      <c r="H4" s="61"/>
      <c r="I4" s="62"/>
      <c r="J4" s="62"/>
      <c r="K4" s="62"/>
      <c r="L4" s="62"/>
      <c r="M4" s="62"/>
      <c r="N4" s="62"/>
      <c r="O4" s="62"/>
      <c r="P4" s="62"/>
      <c r="Q4" s="62"/>
      <c r="R4" s="63"/>
      <c r="S4" s="64"/>
      <c r="T4" s="65"/>
      <c r="U4" s="65"/>
      <c r="V4" s="9"/>
      <c r="W4" s="9"/>
      <c r="X4" s="76" t="s">
        <v>31</v>
      </c>
      <c r="Y4" s="77" t="s">
        <v>32</v>
      </c>
      <c r="Z4" s="78">
        <f>'Presupuesto General'!C9</f>
        <v>28792000</v>
      </c>
      <c r="AA4" s="79">
        <f>IF(Z10&lt;&gt;0,Z4/Z10,0)</f>
        <v>0.34246253950222488</v>
      </c>
      <c r="AB4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</row>
    <row r="5" spans="1:43" s="10" customFormat="1" ht="30" customHeight="1" x14ac:dyDescent="0.35">
      <c r="A5" s="9"/>
      <c r="B5" s="86" t="s">
        <v>33</v>
      </c>
      <c r="C5" s="38" t="s">
        <v>34</v>
      </c>
      <c r="D5" s="16" t="s">
        <v>35</v>
      </c>
      <c r="E5" s="43" t="s">
        <v>36</v>
      </c>
      <c r="F5" s="88">
        <v>46247</v>
      </c>
      <c r="G5" s="88">
        <v>46247</v>
      </c>
      <c r="H5" s="66">
        <v>1</v>
      </c>
      <c r="I5" s="45">
        <v>31121</v>
      </c>
      <c r="J5" s="67">
        <f>H5*I5</f>
        <v>31121</v>
      </c>
      <c r="K5" s="44"/>
      <c r="L5" s="44"/>
      <c r="M5" s="45"/>
      <c r="N5" s="67">
        <f>L5*M5</f>
        <v>0</v>
      </c>
      <c r="O5" s="44" t="s">
        <v>37</v>
      </c>
      <c r="P5" s="46">
        <v>0</v>
      </c>
      <c r="Q5" s="46"/>
      <c r="R5" s="68"/>
      <c r="S5" s="69"/>
      <c r="T5" s="70">
        <f>J5+N5+P5+Q5+R5</f>
        <v>31121</v>
      </c>
      <c r="U5" s="71">
        <f t="shared" ref="U5:U13" si="0">T5-S5</f>
        <v>31121</v>
      </c>
      <c r="V5" s="9"/>
      <c r="W5" s="9"/>
      <c r="X5" s="80" t="s">
        <v>38</v>
      </c>
      <c r="Y5" s="81" t="s">
        <v>39</v>
      </c>
      <c r="Z5" s="82">
        <f>'Presupuesto General'!I17</f>
        <v>24698390</v>
      </c>
      <c r="AA5" s="83">
        <f>IF(Z10&lt;&gt;0,Z5/Z10,0)</f>
        <v>0.29377165049376064</v>
      </c>
      <c r="AB5" s="9"/>
      <c r="AC5" s="9"/>
      <c r="AD5" s="9"/>
      <c r="AE5" s="9"/>
      <c r="AF5" s="9"/>
      <c r="AG5" s="9"/>
      <c r="AH5" s="9"/>
      <c r="AI5" s="9"/>
      <c r="AJ5" s="9"/>
      <c r="AK5" s="9"/>
    </row>
    <row r="6" spans="1:43" s="10" customFormat="1" ht="30" customHeight="1" x14ac:dyDescent="0.35">
      <c r="A6" s="9"/>
      <c r="B6" s="87" t="s">
        <v>40</v>
      </c>
      <c r="C6" s="38" t="s">
        <v>41</v>
      </c>
      <c r="D6" s="16" t="s">
        <v>35</v>
      </c>
      <c r="E6" s="43" t="s">
        <v>36</v>
      </c>
      <c r="F6" s="88">
        <v>46248</v>
      </c>
      <c r="G6" s="88">
        <v>46251</v>
      </c>
      <c r="H6" s="66">
        <v>1.5</v>
      </c>
      <c r="I6" s="45">
        <v>28527</v>
      </c>
      <c r="J6" s="67">
        <f t="shared" ref="J6:J13" si="1">H6*I6</f>
        <v>42790.5</v>
      </c>
      <c r="K6" s="44"/>
      <c r="L6" s="44"/>
      <c r="M6" s="45"/>
      <c r="N6" s="67">
        <f t="shared" ref="N6:N13" si="2">L6*M6</f>
        <v>0</v>
      </c>
      <c r="O6" s="44" t="s">
        <v>42</v>
      </c>
      <c r="P6" s="46"/>
      <c r="Q6" s="46"/>
      <c r="R6" s="68"/>
      <c r="S6" s="69"/>
      <c r="T6" s="70">
        <f>J6+N6+P6+Q6+R6</f>
        <v>42790.5</v>
      </c>
      <c r="U6" s="71">
        <f t="shared" si="0"/>
        <v>42790.5</v>
      </c>
      <c r="V6" s="9"/>
      <c r="W6" s="9"/>
      <c r="X6" s="76" t="s">
        <v>43</v>
      </c>
      <c r="Y6" s="77" t="s">
        <v>44</v>
      </c>
      <c r="Z6" s="78">
        <f>'Presupuesto General'!O9</f>
        <v>1540000</v>
      </c>
      <c r="AA6" s="79">
        <f>IF(Z10&lt;&gt;0,Z6/Z10,0)</f>
        <v>1.831732115981614E-2</v>
      </c>
      <c r="AB6" s="9"/>
      <c r="AC6" s="9"/>
      <c r="AD6" s="9"/>
      <c r="AE6" s="9"/>
      <c r="AF6" s="9"/>
      <c r="AG6" s="9"/>
      <c r="AH6" s="9"/>
      <c r="AI6" s="9"/>
      <c r="AJ6" s="9"/>
      <c r="AK6" s="9"/>
    </row>
    <row r="7" spans="1:43" s="10" customFormat="1" ht="30" customHeight="1" x14ac:dyDescent="0.35">
      <c r="A7" s="9"/>
      <c r="B7" s="87" t="s">
        <v>45</v>
      </c>
      <c r="C7" s="38" t="s">
        <v>46</v>
      </c>
      <c r="D7" s="16" t="s">
        <v>35</v>
      </c>
      <c r="E7" s="43" t="s">
        <v>36</v>
      </c>
      <c r="F7" s="88">
        <v>46220</v>
      </c>
      <c r="G7" s="88">
        <v>46253</v>
      </c>
      <c r="H7" s="66">
        <v>2</v>
      </c>
      <c r="I7" s="45">
        <v>31121</v>
      </c>
      <c r="J7" s="67">
        <f t="shared" si="1"/>
        <v>62242</v>
      </c>
      <c r="K7" s="44"/>
      <c r="L7" s="44"/>
      <c r="M7" s="45"/>
      <c r="N7" s="67">
        <f t="shared" si="2"/>
        <v>0</v>
      </c>
      <c r="O7" s="44" t="s">
        <v>37</v>
      </c>
      <c r="P7" s="46"/>
      <c r="Q7" s="46"/>
      <c r="R7" s="68"/>
      <c r="S7" s="69"/>
      <c r="T7" s="70">
        <f>J7+N7+P7+Q7+R7</f>
        <v>62242</v>
      </c>
      <c r="U7" s="71">
        <f t="shared" si="0"/>
        <v>62242</v>
      </c>
      <c r="V7" s="9"/>
      <c r="W7" s="9"/>
      <c r="X7" s="103" t="s">
        <v>47</v>
      </c>
      <c r="Y7" s="101" t="s">
        <v>48</v>
      </c>
      <c r="Z7" s="97">
        <f>'Presupuesto General'!U7</f>
        <v>16900000</v>
      </c>
      <c r="AA7" s="102">
        <f>IF(Z10&lt;&gt;0,Z7/Z10,0)</f>
        <v>0.20101475818239792</v>
      </c>
      <c r="AB7" s="9"/>
      <c r="AC7" s="9"/>
      <c r="AD7" s="9"/>
      <c r="AE7" s="9"/>
      <c r="AF7" s="9"/>
      <c r="AG7" s="9"/>
      <c r="AH7" s="9"/>
      <c r="AI7" s="9"/>
      <c r="AJ7" s="9"/>
      <c r="AK7" s="9"/>
    </row>
    <row r="8" spans="1:43" s="10" customFormat="1" ht="30" customHeight="1" x14ac:dyDescent="0.35">
      <c r="A8" s="9"/>
      <c r="B8" s="87" t="s">
        <v>49</v>
      </c>
      <c r="C8" s="38" t="s">
        <v>50</v>
      </c>
      <c r="D8" s="16" t="s">
        <v>51</v>
      </c>
      <c r="E8" s="43" t="s">
        <v>36</v>
      </c>
      <c r="F8" s="88">
        <v>46253</v>
      </c>
      <c r="G8" s="88">
        <v>46254</v>
      </c>
      <c r="H8" s="66">
        <v>1</v>
      </c>
      <c r="I8" s="45"/>
      <c r="J8" s="67">
        <f t="shared" si="1"/>
        <v>0</v>
      </c>
      <c r="K8" s="44"/>
      <c r="L8" s="44"/>
      <c r="M8" s="45"/>
      <c r="N8" s="67">
        <f t="shared" si="2"/>
        <v>0</v>
      </c>
      <c r="O8" s="44" t="s">
        <v>37</v>
      </c>
      <c r="P8" s="46"/>
      <c r="Q8" s="46"/>
      <c r="R8" s="68"/>
      <c r="S8" s="69"/>
      <c r="T8" s="70">
        <f>J8+N8+P8+Q8+R8</f>
        <v>0</v>
      </c>
      <c r="U8" s="71">
        <f t="shared" si="0"/>
        <v>0</v>
      </c>
      <c r="V8" s="9"/>
      <c r="W8" s="9"/>
      <c r="X8" s="100" t="s">
        <v>52</v>
      </c>
      <c r="Y8" s="77" t="s">
        <v>53</v>
      </c>
      <c r="Z8" s="98">
        <v>4500000</v>
      </c>
      <c r="AA8" s="99">
        <f>IF(Z10&lt;&gt;0,Z8/Z10,0)</f>
        <v>5.3524639752709505E-2</v>
      </c>
      <c r="AB8" s="9"/>
      <c r="AC8" s="9"/>
      <c r="AD8" s="9"/>
      <c r="AE8" s="9"/>
      <c r="AF8" s="9"/>
      <c r="AG8" s="9"/>
      <c r="AH8" s="9"/>
      <c r="AI8" s="9"/>
      <c r="AJ8" s="9"/>
      <c r="AK8" s="9"/>
    </row>
    <row r="9" spans="1:43" s="10" customFormat="1" ht="30" customHeight="1" x14ac:dyDescent="0.35">
      <c r="A9" s="9"/>
      <c r="B9" s="87" t="s">
        <v>54</v>
      </c>
      <c r="C9" s="38" t="s">
        <v>55</v>
      </c>
      <c r="D9" s="16" t="s">
        <v>56</v>
      </c>
      <c r="E9" s="43" t="s">
        <v>57</v>
      </c>
      <c r="F9" s="88">
        <v>46254</v>
      </c>
      <c r="G9" s="88">
        <v>46259</v>
      </c>
      <c r="H9" s="66">
        <v>1.5</v>
      </c>
      <c r="I9" s="45"/>
      <c r="J9" s="67">
        <f t="shared" si="1"/>
        <v>0</v>
      </c>
      <c r="K9" s="44"/>
      <c r="L9" s="44"/>
      <c r="M9" s="45"/>
      <c r="N9" s="67">
        <f t="shared" si="2"/>
        <v>0</v>
      </c>
      <c r="O9" s="44"/>
      <c r="P9" s="46"/>
      <c r="Q9" s="46"/>
      <c r="R9" s="68"/>
      <c r="S9" s="69"/>
      <c r="T9" s="70">
        <f t="shared" ref="T9:T13" si="3">J9+N9+P9+Q9+R9</f>
        <v>0</v>
      </c>
      <c r="U9" s="71">
        <f t="shared" si="0"/>
        <v>0</v>
      </c>
      <c r="V9" s="9"/>
      <c r="W9" s="9"/>
      <c r="X9" s="103" t="s">
        <v>58</v>
      </c>
      <c r="Y9" s="101" t="s">
        <v>59</v>
      </c>
      <c r="Z9" s="97">
        <f>(SUM(Z4:Z8)*0.1)</f>
        <v>7643039</v>
      </c>
      <c r="AA9" s="102">
        <f>IF(Z10&lt;&gt;0,Z9/Z10,0)</f>
        <v>9.0909090909090912E-2</v>
      </c>
      <c r="AB9" s="9"/>
      <c r="AC9" s="9"/>
      <c r="AD9" s="9"/>
      <c r="AE9" s="9"/>
      <c r="AF9" s="9"/>
      <c r="AG9" s="9"/>
      <c r="AH9" s="9"/>
      <c r="AI9" s="9"/>
      <c r="AJ9" s="9"/>
      <c r="AK9" s="9"/>
    </row>
    <row r="10" spans="1:43" s="10" customFormat="1" ht="30" customHeight="1" x14ac:dyDescent="0.35">
      <c r="A10" s="9"/>
      <c r="B10" s="87" t="s">
        <v>60</v>
      </c>
      <c r="C10" s="38" t="s">
        <v>61</v>
      </c>
      <c r="D10" s="16" t="s">
        <v>56</v>
      </c>
      <c r="E10" s="43" t="s">
        <v>57</v>
      </c>
      <c r="F10" s="88">
        <v>46254</v>
      </c>
      <c r="G10" s="88">
        <v>46259</v>
      </c>
      <c r="H10" s="66">
        <v>2</v>
      </c>
      <c r="I10" s="45"/>
      <c r="J10" s="67">
        <f t="shared" si="1"/>
        <v>0</v>
      </c>
      <c r="K10" s="44"/>
      <c r="L10" s="44"/>
      <c r="M10" s="45"/>
      <c r="N10" s="67">
        <f t="shared" si="2"/>
        <v>0</v>
      </c>
      <c r="O10" s="44"/>
      <c r="P10" s="46"/>
      <c r="Q10" s="46"/>
      <c r="R10" s="68"/>
      <c r="S10" s="69"/>
      <c r="T10" s="70">
        <f t="shared" si="3"/>
        <v>0</v>
      </c>
      <c r="U10" s="71">
        <f t="shared" si="0"/>
        <v>0</v>
      </c>
      <c r="V10" s="9"/>
      <c r="W10" s="9"/>
      <c r="X10" s="111" t="s">
        <v>62</v>
      </c>
      <c r="Y10" s="112"/>
      <c r="Z10" s="84">
        <f>SUM(Z4:Z9)</f>
        <v>84073429</v>
      </c>
      <c r="AA10" s="85">
        <f>SUM(AA4:AA9)</f>
        <v>1</v>
      </c>
      <c r="AB10" s="9"/>
      <c r="AC10" s="9"/>
      <c r="AD10" s="9"/>
      <c r="AE10" s="9"/>
      <c r="AF10" s="9"/>
      <c r="AG10" s="9"/>
      <c r="AH10" s="9"/>
      <c r="AI10" s="9"/>
      <c r="AJ10" s="9"/>
      <c r="AK10" s="9"/>
    </row>
    <row r="11" spans="1:43" s="10" customFormat="1" ht="30" customHeight="1" x14ac:dyDescent="0.35">
      <c r="A11" s="9"/>
      <c r="B11" s="87" t="s">
        <v>63</v>
      </c>
      <c r="C11" s="38" t="s">
        <v>64</v>
      </c>
      <c r="D11" s="16" t="s">
        <v>56</v>
      </c>
      <c r="E11" s="43" t="s">
        <v>57</v>
      </c>
      <c r="F11" s="88">
        <v>46254</v>
      </c>
      <c r="G11" s="88">
        <v>46259</v>
      </c>
      <c r="H11" s="66">
        <v>2</v>
      </c>
      <c r="I11" s="45"/>
      <c r="J11" s="67">
        <f t="shared" si="1"/>
        <v>0</v>
      </c>
      <c r="K11" s="44"/>
      <c r="L11" s="44"/>
      <c r="M11" s="45"/>
      <c r="N11" s="67">
        <f t="shared" si="2"/>
        <v>0</v>
      </c>
      <c r="O11" s="44"/>
      <c r="P11" s="46"/>
      <c r="Q11" s="46"/>
      <c r="R11" s="68"/>
      <c r="S11" s="69"/>
      <c r="T11" s="70">
        <f t="shared" si="3"/>
        <v>0</v>
      </c>
      <c r="U11" s="71">
        <f t="shared" si="0"/>
        <v>0</v>
      </c>
      <c r="V11" s="9"/>
      <c r="W11" s="9"/>
      <c r="AB11"/>
      <c r="AC11" s="9"/>
      <c r="AD11" s="9"/>
      <c r="AE11" s="9"/>
      <c r="AF11" s="9"/>
      <c r="AG11" s="9"/>
      <c r="AH11" s="9"/>
      <c r="AI11" s="9"/>
      <c r="AJ11" s="9"/>
      <c r="AK11" s="9"/>
    </row>
    <row r="12" spans="1:43" s="10" customFormat="1" ht="30" customHeight="1" x14ac:dyDescent="0.35">
      <c r="A12" s="9"/>
      <c r="B12" s="87" t="s">
        <v>65</v>
      </c>
      <c r="C12" s="38" t="s">
        <v>66</v>
      </c>
      <c r="D12" s="16" t="s">
        <v>51</v>
      </c>
      <c r="E12" s="43" t="s">
        <v>57</v>
      </c>
      <c r="F12" s="88">
        <v>46253</v>
      </c>
      <c r="G12" s="88">
        <v>46259</v>
      </c>
      <c r="H12" s="66">
        <v>1</v>
      </c>
      <c r="I12" s="45">
        <v>31121</v>
      </c>
      <c r="J12" s="67">
        <f t="shared" si="1"/>
        <v>31121</v>
      </c>
      <c r="K12" s="44"/>
      <c r="L12" s="44"/>
      <c r="M12" s="45"/>
      <c r="N12" s="67">
        <f t="shared" si="2"/>
        <v>0</v>
      </c>
      <c r="O12" s="44" t="s">
        <v>37</v>
      </c>
      <c r="P12" s="46"/>
      <c r="Q12" s="46"/>
      <c r="R12" s="68"/>
      <c r="S12" s="69"/>
      <c r="T12" s="70">
        <f t="shared" si="3"/>
        <v>31121</v>
      </c>
      <c r="U12" s="71">
        <f t="shared" si="0"/>
        <v>31121</v>
      </c>
      <c r="V12" s="9"/>
      <c r="W12" s="9"/>
      <c r="AB12"/>
      <c r="AC12" s="9"/>
      <c r="AD12" s="9"/>
      <c r="AE12" s="9"/>
      <c r="AF12" s="9"/>
      <c r="AG12" s="9"/>
      <c r="AH12" s="9"/>
      <c r="AI12" s="9"/>
      <c r="AJ12" s="9"/>
      <c r="AK12" s="9"/>
    </row>
    <row r="13" spans="1:43" s="10" customFormat="1" ht="30" customHeight="1" x14ac:dyDescent="0.35">
      <c r="A13" s="9"/>
      <c r="B13" s="87" t="s">
        <v>67</v>
      </c>
      <c r="C13" s="38" t="s">
        <v>68</v>
      </c>
      <c r="D13" s="16" t="s">
        <v>56</v>
      </c>
      <c r="E13" s="43" t="s">
        <v>57</v>
      </c>
      <c r="F13" s="88">
        <v>46254</v>
      </c>
      <c r="G13" s="88">
        <v>46259</v>
      </c>
      <c r="H13" s="66">
        <v>2</v>
      </c>
      <c r="I13" s="45"/>
      <c r="J13" s="67">
        <f t="shared" si="1"/>
        <v>0</v>
      </c>
      <c r="K13" s="44"/>
      <c r="L13" s="44"/>
      <c r="M13" s="45"/>
      <c r="N13" s="67">
        <f t="shared" si="2"/>
        <v>0</v>
      </c>
      <c r="O13" s="44"/>
      <c r="P13" s="46"/>
      <c r="Q13" s="46"/>
      <c r="R13" s="68"/>
      <c r="S13" s="69"/>
      <c r="T13" s="70">
        <f t="shared" si="3"/>
        <v>0</v>
      </c>
      <c r="U13" s="71">
        <f t="shared" si="0"/>
        <v>0</v>
      </c>
      <c r="V13" s="9"/>
      <c r="W13" s="9"/>
      <c r="Y13" s="10" t="s">
        <v>69</v>
      </c>
      <c r="AB13"/>
      <c r="AC13" s="9"/>
      <c r="AD13" s="9"/>
      <c r="AE13" s="9"/>
      <c r="AF13" s="9"/>
      <c r="AG13" s="9"/>
      <c r="AH13" s="9"/>
      <c r="AI13" s="9"/>
      <c r="AJ13" s="9"/>
      <c r="AK13" s="9"/>
    </row>
    <row r="14" spans="1:43" s="10" customFormat="1" ht="30" customHeight="1" x14ac:dyDescent="0.35">
      <c r="A14" s="9"/>
      <c r="B14" s="87" t="s">
        <v>70</v>
      </c>
      <c r="C14" s="38" t="s">
        <v>71</v>
      </c>
      <c r="D14" s="16" t="s">
        <v>56</v>
      </c>
      <c r="E14" s="43" t="s">
        <v>72</v>
      </c>
      <c r="F14" s="88">
        <v>46254</v>
      </c>
      <c r="G14" s="88">
        <v>46266</v>
      </c>
      <c r="H14" s="66">
        <v>2</v>
      </c>
      <c r="I14" s="45"/>
      <c r="J14" s="67">
        <f>H14*I14</f>
        <v>0</v>
      </c>
      <c r="K14" s="44"/>
      <c r="L14" s="44"/>
      <c r="M14" s="45"/>
      <c r="N14" s="67">
        <f>L14*M14</f>
        <v>0</v>
      </c>
      <c r="O14" s="44"/>
      <c r="P14" s="46"/>
      <c r="Q14" s="46"/>
      <c r="R14" s="68"/>
      <c r="S14" s="69"/>
      <c r="T14" s="70">
        <f>J14+N14+P14+Q14+R14</f>
        <v>0</v>
      </c>
      <c r="U14" s="71">
        <f t="shared" ref="U14:U38" si="4">T14-S14</f>
        <v>0</v>
      </c>
      <c r="V14" s="9"/>
      <c r="W14" s="9"/>
      <c r="Y14" s="10" t="s">
        <v>73</v>
      </c>
      <c r="AB14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</row>
    <row r="15" spans="1:43" s="10" customFormat="1" ht="30" customHeight="1" x14ac:dyDescent="0.35">
      <c r="A15" s="9"/>
      <c r="B15" s="87" t="s">
        <v>74</v>
      </c>
      <c r="C15" s="38" t="s">
        <v>75</v>
      </c>
      <c r="D15" s="16" t="s">
        <v>56</v>
      </c>
      <c r="E15" s="43" t="s">
        <v>76</v>
      </c>
      <c r="F15" s="88">
        <v>46260</v>
      </c>
      <c r="G15" s="88">
        <v>46266</v>
      </c>
      <c r="H15" s="66">
        <v>10</v>
      </c>
      <c r="I15" s="45"/>
      <c r="J15" s="67">
        <f t="shared" ref="J15:J38" si="5">H15*I15</f>
        <v>0</v>
      </c>
      <c r="K15" s="44"/>
      <c r="L15" s="44"/>
      <c r="M15" s="45"/>
      <c r="N15" s="67">
        <f t="shared" ref="N15:N38" si="6">L15*M15</f>
        <v>0</v>
      </c>
      <c r="O15" s="44"/>
      <c r="P15" s="46"/>
      <c r="Q15" s="46"/>
      <c r="R15" s="68"/>
      <c r="S15" s="69"/>
      <c r="T15" s="70">
        <f t="shared" ref="T15:T38" si="7">J15+N15+P15+Q15+R15</f>
        <v>0</v>
      </c>
      <c r="U15" s="71">
        <f t="shared" si="4"/>
        <v>0</v>
      </c>
      <c r="V15" s="9"/>
      <c r="W15" s="9"/>
      <c r="AB15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</row>
    <row r="16" spans="1:43" s="10" customFormat="1" ht="30" customHeight="1" x14ac:dyDescent="0.35">
      <c r="A16" s="9"/>
      <c r="B16" s="87" t="s">
        <v>77</v>
      </c>
      <c r="C16" s="38" t="s">
        <v>78</v>
      </c>
      <c r="D16" s="16" t="s">
        <v>56</v>
      </c>
      <c r="E16" s="43" t="s">
        <v>76</v>
      </c>
      <c r="F16" s="88">
        <v>46260</v>
      </c>
      <c r="G16" s="88">
        <v>46266</v>
      </c>
      <c r="H16" s="66">
        <v>7</v>
      </c>
      <c r="I16" s="45"/>
      <c r="J16" s="67">
        <f t="shared" si="5"/>
        <v>0</v>
      </c>
      <c r="K16" s="44"/>
      <c r="L16" s="44"/>
      <c r="M16" s="45"/>
      <c r="N16" s="67">
        <f t="shared" si="6"/>
        <v>0</v>
      </c>
      <c r="O16" s="44"/>
      <c r="P16" s="46"/>
      <c r="Q16" s="46"/>
      <c r="R16" s="68"/>
      <c r="S16" s="69"/>
      <c r="T16" s="70">
        <f t="shared" si="7"/>
        <v>0</v>
      </c>
      <c r="U16" s="71">
        <f t="shared" si="4"/>
        <v>0</v>
      </c>
      <c r="V16" s="9"/>
      <c r="W16" s="9"/>
      <c r="AB16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</row>
    <row r="17" spans="1:43" s="10" customFormat="1" ht="30" customHeight="1" x14ac:dyDescent="0.35">
      <c r="A17" s="9"/>
      <c r="B17" s="87" t="s">
        <v>79</v>
      </c>
      <c r="C17" s="38" t="s">
        <v>80</v>
      </c>
      <c r="D17" s="16" t="s">
        <v>56</v>
      </c>
      <c r="E17" s="43" t="s">
        <v>81</v>
      </c>
      <c r="F17" s="88">
        <v>46267</v>
      </c>
      <c r="G17" s="88">
        <v>46272</v>
      </c>
      <c r="H17" s="66">
        <v>4</v>
      </c>
      <c r="I17" s="45"/>
      <c r="J17" s="67">
        <f t="shared" si="5"/>
        <v>0</v>
      </c>
      <c r="K17" s="44"/>
      <c r="L17" s="44"/>
      <c r="M17" s="45"/>
      <c r="N17" s="67">
        <f t="shared" si="6"/>
        <v>0</v>
      </c>
      <c r="O17" s="44"/>
      <c r="P17" s="46"/>
      <c r="Q17" s="46"/>
      <c r="R17" s="68"/>
      <c r="S17" s="69"/>
      <c r="T17" s="70">
        <f t="shared" si="7"/>
        <v>0</v>
      </c>
      <c r="U17" s="71">
        <f t="shared" si="4"/>
        <v>0</v>
      </c>
      <c r="V17" s="9"/>
      <c r="W17" s="9"/>
      <c r="AB17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</row>
    <row r="18" spans="1:43" s="10" customFormat="1" ht="30" customHeight="1" x14ac:dyDescent="0.35">
      <c r="A18" s="9"/>
      <c r="B18" s="87" t="s">
        <v>82</v>
      </c>
      <c r="C18" s="38" t="s">
        <v>83</v>
      </c>
      <c r="D18" s="16" t="s">
        <v>56</v>
      </c>
      <c r="E18" s="43" t="s">
        <v>84</v>
      </c>
      <c r="F18" s="88">
        <v>46267</v>
      </c>
      <c r="G18" s="88">
        <v>46279</v>
      </c>
      <c r="H18" s="66">
        <v>4</v>
      </c>
      <c r="I18" s="45"/>
      <c r="J18" s="67">
        <f t="shared" ref="J18:J23" si="8">H18*I18</f>
        <v>0</v>
      </c>
      <c r="K18" s="44"/>
      <c r="L18" s="44"/>
      <c r="M18" s="45"/>
      <c r="N18" s="67">
        <f t="shared" ref="N18:N23" si="9">L18*M18</f>
        <v>0</v>
      </c>
      <c r="O18" s="44"/>
      <c r="P18" s="46"/>
      <c r="Q18" s="46"/>
      <c r="R18" s="68"/>
      <c r="S18" s="69"/>
      <c r="T18" s="70">
        <f t="shared" ref="T18:T23" si="10">J18+N18+P18+Q18+R18</f>
        <v>0</v>
      </c>
      <c r="U18" s="71">
        <f t="shared" ref="U18:U23" si="11">T18-S18</f>
        <v>0</v>
      </c>
      <c r="V18" s="9"/>
      <c r="W18" s="9"/>
      <c r="AB18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</row>
    <row r="19" spans="1:43" s="10" customFormat="1" ht="30" customHeight="1" x14ac:dyDescent="0.35">
      <c r="A19" s="9"/>
      <c r="B19" s="87" t="s">
        <v>85</v>
      </c>
      <c r="C19" s="38" t="s">
        <v>86</v>
      </c>
      <c r="D19" s="16" t="s">
        <v>56</v>
      </c>
      <c r="E19" s="43" t="s">
        <v>87</v>
      </c>
      <c r="F19" s="88">
        <v>46273</v>
      </c>
      <c r="G19" s="88">
        <v>46279</v>
      </c>
      <c r="H19" s="66">
        <v>3</v>
      </c>
      <c r="I19" s="45"/>
      <c r="J19" s="67">
        <f t="shared" si="8"/>
        <v>0</v>
      </c>
      <c r="K19" s="44"/>
      <c r="L19" s="44"/>
      <c r="M19" s="45"/>
      <c r="N19" s="67">
        <f t="shared" si="9"/>
        <v>0</v>
      </c>
      <c r="O19" s="44"/>
      <c r="P19" s="46"/>
      <c r="Q19" s="46"/>
      <c r="R19" s="68"/>
      <c r="S19" s="69"/>
      <c r="T19" s="70">
        <f t="shared" si="10"/>
        <v>0</v>
      </c>
      <c r="U19" s="71">
        <f t="shared" si="11"/>
        <v>0</v>
      </c>
      <c r="V19" s="9"/>
      <c r="W19" s="9"/>
      <c r="AB1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</row>
    <row r="20" spans="1:43" s="10" customFormat="1" ht="30" customHeight="1" x14ac:dyDescent="0.35">
      <c r="A20" s="9"/>
      <c r="B20" s="87" t="s">
        <v>88</v>
      </c>
      <c r="C20" s="38" t="s">
        <v>89</v>
      </c>
      <c r="D20" s="16" t="s">
        <v>56</v>
      </c>
      <c r="E20" s="43" t="s">
        <v>87</v>
      </c>
      <c r="F20" s="88">
        <v>46273</v>
      </c>
      <c r="G20" s="88">
        <v>46279</v>
      </c>
      <c r="H20" s="66">
        <v>5</v>
      </c>
      <c r="I20" s="45"/>
      <c r="J20" s="67">
        <f t="shared" si="8"/>
        <v>0</v>
      </c>
      <c r="K20" s="44"/>
      <c r="L20" s="44"/>
      <c r="M20" s="45"/>
      <c r="N20" s="67">
        <f t="shared" si="9"/>
        <v>0</v>
      </c>
      <c r="O20" s="44"/>
      <c r="P20" s="46"/>
      <c r="Q20" s="46"/>
      <c r="R20" s="68"/>
      <c r="S20" s="69"/>
      <c r="T20" s="70">
        <f t="shared" si="10"/>
        <v>0</v>
      </c>
      <c r="U20" s="71">
        <f t="shared" si="11"/>
        <v>0</v>
      </c>
      <c r="V20" s="9"/>
      <c r="W20" s="9"/>
      <c r="AB20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</row>
    <row r="21" spans="1:43" s="10" customFormat="1" ht="30" customHeight="1" x14ac:dyDescent="0.35">
      <c r="A21" s="9"/>
      <c r="B21" s="87" t="s">
        <v>90</v>
      </c>
      <c r="C21" s="38" t="s">
        <v>91</v>
      </c>
      <c r="D21" s="16" t="s">
        <v>56</v>
      </c>
      <c r="E21" s="43" t="s">
        <v>92</v>
      </c>
      <c r="F21" s="88">
        <v>46273</v>
      </c>
      <c r="G21" s="88">
        <v>46286</v>
      </c>
      <c r="H21" s="66">
        <v>3</v>
      </c>
      <c r="I21" s="45"/>
      <c r="J21" s="67">
        <f t="shared" si="8"/>
        <v>0</v>
      </c>
      <c r="K21" s="44"/>
      <c r="L21" s="44"/>
      <c r="M21" s="45"/>
      <c r="N21" s="67">
        <f t="shared" si="9"/>
        <v>0</v>
      </c>
      <c r="O21" s="44"/>
      <c r="P21" s="46"/>
      <c r="Q21" s="46"/>
      <c r="R21" s="68"/>
      <c r="S21" s="69"/>
      <c r="T21" s="70">
        <f t="shared" si="10"/>
        <v>0</v>
      </c>
      <c r="U21" s="71">
        <f t="shared" si="11"/>
        <v>0</v>
      </c>
      <c r="V21" s="9"/>
      <c r="W21" s="9"/>
      <c r="AB21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</row>
    <row r="22" spans="1:43" s="10" customFormat="1" ht="30" customHeight="1" x14ac:dyDescent="0.35">
      <c r="A22" s="9"/>
      <c r="B22" s="86" t="s">
        <v>93</v>
      </c>
      <c r="C22" s="38" t="s">
        <v>94</v>
      </c>
      <c r="D22" s="16" t="s">
        <v>56</v>
      </c>
      <c r="E22" s="43" t="s">
        <v>87</v>
      </c>
      <c r="F22" s="88">
        <v>46273</v>
      </c>
      <c r="G22" s="88">
        <v>46279</v>
      </c>
      <c r="H22" s="66">
        <v>2</v>
      </c>
      <c r="I22" s="45"/>
      <c r="J22" s="67">
        <f t="shared" si="8"/>
        <v>0</v>
      </c>
      <c r="K22" s="44"/>
      <c r="L22" s="44"/>
      <c r="M22" s="45"/>
      <c r="N22" s="67">
        <f t="shared" si="9"/>
        <v>0</v>
      </c>
      <c r="O22" s="44"/>
      <c r="P22" s="46"/>
      <c r="Q22" s="46"/>
      <c r="R22" s="68"/>
      <c r="S22" s="69"/>
      <c r="T22" s="70">
        <f t="shared" si="10"/>
        <v>0</v>
      </c>
      <c r="U22" s="71">
        <f t="shared" si="11"/>
        <v>0</v>
      </c>
      <c r="V22" s="9"/>
      <c r="W22" s="9"/>
      <c r="AB22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</row>
    <row r="23" spans="1:43" s="10" customFormat="1" ht="30" customHeight="1" x14ac:dyDescent="0.35">
      <c r="A23" s="9"/>
      <c r="B23" s="87" t="s">
        <v>95</v>
      </c>
      <c r="C23" s="38" t="s">
        <v>96</v>
      </c>
      <c r="D23" s="16" t="s">
        <v>56</v>
      </c>
      <c r="E23" s="43" t="s">
        <v>97</v>
      </c>
      <c r="F23" s="88">
        <v>46280</v>
      </c>
      <c r="G23" s="88">
        <v>46305</v>
      </c>
      <c r="H23" s="66">
        <v>28</v>
      </c>
      <c r="I23" s="45"/>
      <c r="J23" s="67">
        <f t="shared" si="8"/>
        <v>0</v>
      </c>
      <c r="K23" s="44"/>
      <c r="L23" s="44"/>
      <c r="M23" s="45"/>
      <c r="N23" s="67">
        <f t="shared" si="9"/>
        <v>0</v>
      </c>
      <c r="O23" s="44"/>
      <c r="P23" s="46"/>
      <c r="Q23" s="46"/>
      <c r="R23" s="68"/>
      <c r="S23" s="69"/>
      <c r="T23" s="70">
        <f t="shared" si="10"/>
        <v>0</v>
      </c>
      <c r="U23" s="71">
        <f t="shared" si="11"/>
        <v>0</v>
      </c>
      <c r="V23" s="9"/>
      <c r="W23" s="9"/>
      <c r="AB23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</row>
    <row r="24" spans="1:43" s="10" customFormat="1" ht="30" customHeight="1" x14ac:dyDescent="0.35">
      <c r="A24" s="9"/>
      <c r="B24" s="87" t="s">
        <v>98</v>
      </c>
      <c r="C24" s="38" t="s">
        <v>99</v>
      </c>
      <c r="D24" s="16" t="s">
        <v>56</v>
      </c>
      <c r="E24" s="43" t="s">
        <v>100</v>
      </c>
      <c r="F24" s="88">
        <v>46300</v>
      </c>
      <c r="G24" s="88">
        <v>46312</v>
      </c>
      <c r="H24" s="66">
        <v>6</v>
      </c>
      <c r="I24" s="45"/>
      <c r="J24" s="67">
        <f t="shared" si="5"/>
        <v>0</v>
      </c>
      <c r="K24" s="44"/>
      <c r="L24" s="44"/>
      <c r="M24" s="45"/>
      <c r="N24" s="67">
        <f t="shared" si="6"/>
        <v>0</v>
      </c>
      <c r="O24" s="44"/>
      <c r="P24" s="46"/>
      <c r="Q24" s="46"/>
      <c r="R24" s="68"/>
      <c r="S24" s="69"/>
      <c r="T24" s="70">
        <f t="shared" si="7"/>
        <v>0</v>
      </c>
      <c r="U24" s="71">
        <f t="shared" si="4"/>
        <v>0</v>
      </c>
      <c r="V24" s="9"/>
      <c r="W24" s="9"/>
      <c r="AB24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</row>
    <row r="25" spans="1:43" s="10" customFormat="1" ht="30" customHeight="1" x14ac:dyDescent="0.35">
      <c r="A25" s="9"/>
      <c r="B25" s="87" t="s">
        <v>101</v>
      </c>
      <c r="C25" s="38" t="s">
        <v>102</v>
      </c>
      <c r="D25" s="16" t="s">
        <v>56</v>
      </c>
      <c r="E25" s="43" t="s">
        <v>103</v>
      </c>
      <c r="F25" s="88">
        <v>46280</v>
      </c>
      <c r="G25" s="88">
        <v>46312</v>
      </c>
      <c r="H25" s="66">
        <v>20</v>
      </c>
      <c r="I25" s="45"/>
      <c r="J25" s="67">
        <f t="shared" si="5"/>
        <v>0</v>
      </c>
      <c r="K25" s="44"/>
      <c r="L25" s="44"/>
      <c r="M25" s="45"/>
      <c r="N25" s="67">
        <f t="shared" si="6"/>
        <v>0</v>
      </c>
      <c r="O25" s="44"/>
      <c r="P25" s="46"/>
      <c r="Q25" s="46"/>
      <c r="R25" s="68"/>
      <c r="S25" s="69"/>
      <c r="T25" s="70">
        <f t="shared" si="7"/>
        <v>0</v>
      </c>
      <c r="U25" s="71">
        <f t="shared" si="4"/>
        <v>0</v>
      </c>
      <c r="V25" s="9"/>
      <c r="W25" s="9"/>
      <c r="AB25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</row>
    <row r="26" spans="1:43" s="10" customFormat="1" ht="30" customHeight="1" x14ac:dyDescent="0.35">
      <c r="A26" s="9"/>
      <c r="B26" s="87" t="s">
        <v>104</v>
      </c>
      <c r="C26" s="38" t="s">
        <v>105</v>
      </c>
      <c r="D26" s="16" t="s">
        <v>56</v>
      </c>
      <c r="E26" s="43" t="s">
        <v>106</v>
      </c>
      <c r="F26" s="88">
        <v>46287</v>
      </c>
      <c r="G26" s="88">
        <v>46312</v>
      </c>
      <c r="H26" s="66">
        <v>6</v>
      </c>
      <c r="I26" s="45"/>
      <c r="J26" s="67">
        <f t="shared" si="5"/>
        <v>0</v>
      </c>
      <c r="K26" s="44"/>
      <c r="L26" s="44"/>
      <c r="M26" s="45"/>
      <c r="N26" s="67">
        <f t="shared" si="6"/>
        <v>0</v>
      </c>
      <c r="O26" s="44"/>
      <c r="P26" s="46"/>
      <c r="Q26" s="46"/>
      <c r="R26" s="68"/>
      <c r="S26" s="69"/>
      <c r="T26" s="70">
        <f t="shared" si="7"/>
        <v>0</v>
      </c>
      <c r="U26" s="71">
        <f t="shared" si="4"/>
        <v>0</v>
      </c>
      <c r="V26" s="9"/>
      <c r="W26" s="9"/>
      <c r="AB26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</row>
    <row r="27" spans="1:43" s="10" customFormat="1" ht="30" customHeight="1" x14ac:dyDescent="0.35">
      <c r="A27" s="9"/>
      <c r="B27" s="87" t="s">
        <v>107</v>
      </c>
      <c r="C27" s="38" t="s">
        <v>108</v>
      </c>
      <c r="D27" s="16" t="s">
        <v>56</v>
      </c>
      <c r="E27" s="43" t="s">
        <v>109</v>
      </c>
      <c r="F27" s="88">
        <v>46306</v>
      </c>
      <c r="G27" s="88">
        <v>46319</v>
      </c>
      <c r="H27" s="66">
        <v>15</v>
      </c>
      <c r="I27" s="45"/>
      <c r="J27" s="67">
        <f t="shared" si="5"/>
        <v>0</v>
      </c>
      <c r="K27" s="44"/>
      <c r="L27" s="44"/>
      <c r="M27" s="45"/>
      <c r="N27" s="67">
        <f t="shared" si="6"/>
        <v>0</v>
      </c>
      <c r="O27" s="44"/>
      <c r="P27" s="46"/>
      <c r="Q27" s="46"/>
      <c r="R27" s="68"/>
      <c r="S27" s="69"/>
      <c r="T27" s="70">
        <f t="shared" si="7"/>
        <v>0</v>
      </c>
      <c r="U27" s="71">
        <f t="shared" si="4"/>
        <v>0</v>
      </c>
      <c r="V27" s="9"/>
      <c r="W27" s="9"/>
      <c r="AB27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</row>
    <row r="28" spans="1:43" s="10" customFormat="1" ht="30" customHeight="1" x14ac:dyDescent="0.35">
      <c r="A28" s="9"/>
      <c r="B28" s="86" t="s">
        <v>110</v>
      </c>
      <c r="C28" s="38" t="s">
        <v>111</v>
      </c>
      <c r="D28" s="16" t="s">
        <v>56</v>
      </c>
      <c r="E28" s="43" t="s">
        <v>112</v>
      </c>
      <c r="F28" s="88">
        <v>46313</v>
      </c>
      <c r="G28" s="88">
        <v>46319</v>
      </c>
      <c r="H28" s="66">
        <v>2</v>
      </c>
      <c r="I28" s="45"/>
      <c r="J28" s="67">
        <f t="shared" ref="J28:J31" si="12">H28*I28</f>
        <v>0</v>
      </c>
      <c r="K28" s="44"/>
      <c r="L28" s="44"/>
      <c r="M28" s="45"/>
      <c r="N28" s="67">
        <f t="shared" ref="N28:N31" si="13">L28*M28</f>
        <v>0</v>
      </c>
      <c r="O28" s="44"/>
      <c r="P28" s="46"/>
      <c r="Q28" s="46"/>
      <c r="R28" s="68"/>
      <c r="S28" s="69"/>
      <c r="T28" s="70">
        <f t="shared" ref="T28:T31" si="14">J28+N28+P28+Q28+R28</f>
        <v>0</v>
      </c>
      <c r="U28" s="71">
        <f t="shared" ref="U28:U31" si="15">T28-S28</f>
        <v>0</v>
      </c>
      <c r="V28" s="9"/>
      <c r="W28" s="9"/>
      <c r="AB28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</row>
    <row r="29" spans="1:43" s="10" customFormat="1" ht="30" customHeight="1" x14ac:dyDescent="0.35">
      <c r="A29" s="9"/>
      <c r="B29" s="87" t="s">
        <v>113</v>
      </c>
      <c r="C29" s="38" t="s">
        <v>114</v>
      </c>
      <c r="D29" s="16" t="s">
        <v>56</v>
      </c>
      <c r="E29" s="43" t="s">
        <v>112</v>
      </c>
      <c r="F29" s="88">
        <v>46313</v>
      </c>
      <c r="G29" s="88">
        <v>46319</v>
      </c>
      <c r="H29" s="66">
        <v>2</v>
      </c>
      <c r="I29" s="45"/>
      <c r="J29" s="67">
        <f t="shared" si="12"/>
        <v>0</v>
      </c>
      <c r="K29" s="44"/>
      <c r="L29" s="44"/>
      <c r="M29" s="45"/>
      <c r="N29" s="67">
        <f t="shared" si="13"/>
        <v>0</v>
      </c>
      <c r="O29" s="44"/>
      <c r="P29" s="46"/>
      <c r="Q29" s="46"/>
      <c r="R29" s="68"/>
      <c r="S29" s="69"/>
      <c r="T29" s="70">
        <f t="shared" si="14"/>
        <v>0</v>
      </c>
      <c r="U29" s="71">
        <f t="shared" si="15"/>
        <v>0</v>
      </c>
      <c r="V29" s="9"/>
      <c r="W29" s="9"/>
      <c r="AB2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</row>
    <row r="30" spans="1:43" s="10" customFormat="1" ht="30" customHeight="1" x14ac:dyDescent="0.35">
      <c r="A30" s="9"/>
      <c r="B30" s="87" t="s">
        <v>115</v>
      </c>
      <c r="C30" s="38" t="s">
        <v>116</v>
      </c>
      <c r="D30" s="16" t="s">
        <v>56</v>
      </c>
      <c r="E30" s="43" t="s">
        <v>117</v>
      </c>
      <c r="F30" s="88">
        <v>46320</v>
      </c>
      <c r="G30" s="88">
        <v>46325</v>
      </c>
      <c r="H30" s="66">
        <v>2</v>
      </c>
      <c r="I30" s="45"/>
      <c r="J30" s="67">
        <f t="shared" si="12"/>
        <v>0</v>
      </c>
      <c r="K30" s="44"/>
      <c r="L30" s="44"/>
      <c r="M30" s="45"/>
      <c r="N30" s="67">
        <f t="shared" si="13"/>
        <v>0</v>
      </c>
      <c r="O30" s="44"/>
      <c r="P30" s="46"/>
      <c r="Q30" s="46"/>
      <c r="R30" s="68"/>
      <c r="S30" s="69"/>
      <c r="T30" s="70">
        <f t="shared" si="14"/>
        <v>0</v>
      </c>
      <c r="U30" s="71">
        <f t="shared" si="15"/>
        <v>0</v>
      </c>
      <c r="V30" s="9"/>
      <c r="W30" s="9"/>
      <c r="AB30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</row>
    <row r="31" spans="1:43" s="10" customFormat="1" ht="30" customHeight="1" x14ac:dyDescent="0.35">
      <c r="A31" s="9"/>
      <c r="B31" s="87" t="s">
        <v>118</v>
      </c>
      <c r="C31" s="38" t="s">
        <v>119</v>
      </c>
      <c r="D31" s="16" t="s">
        <v>56</v>
      </c>
      <c r="E31" s="43" t="s">
        <v>117</v>
      </c>
      <c r="F31" s="88">
        <v>46320</v>
      </c>
      <c r="G31" s="88">
        <v>46325</v>
      </c>
      <c r="H31" s="66">
        <v>2</v>
      </c>
      <c r="I31" s="45"/>
      <c r="J31" s="67">
        <f t="shared" si="12"/>
        <v>0</v>
      </c>
      <c r="K31" s="44"/>
      <c r="L31" s="44"/>
      <c r="M31" s="45"/>
      <c r="N31" s="67">
        <f t="shared" si="13"/>
        <v>0</v>
      </c>
      <c r="O31" s="44"/>
      <c r="P31" s="46"/>
      <c r="Q31" s="46"/>
      <c r="R31" s="68"/>
      <c r="S31" s="69"/>
      <c r="T31" s="70">
        <f t="shared" si="14"/>
        <v>0</v>
      </c>
      <c r="U31" s="71">
        <f t="shared" si="15"/>
        <v>0</v>
      </c>
      <c r="V31" s="9"/>
      <c r="W31" s="9"/>
      <c r="AB31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</row>
    <row r="32" spans="1:43" s="10" customFormat="1" ht="30" customHeight="1" x14ac:dyDescent="0.35">
      <c r="A32" s="9"/>
      <c r="B32" s="87" t="s">
        <v>120</v>
      </c>
      <c r="C32" s="38" t="s">
        <v>121</v>
      </c>
      <c r="D32" s="16" t="s">
        <v>56</v>
      </c>
      <c r="E32" s="43" t="s">
        <v>122</v>
      </c>
      <c r="F32" s="88">
        <v>46320</v>
      </c>
      <c r="G32" s="88">
        <v>46332</v>
      </c>
      <c r="H32" s="66">
        <v>5</v>
      </c>
      <c r="I32" s="45"/>
      <c r="J32" s="67">
        <f t="shared" si="5"/>
        <v>0</v>
      </c>
      <c r="K32" s="44"/>
      <c r="L32" s="44"/>
      <c r="M32" s="45"/>
      <c r="N32" s="67">
        <f t="shared" si="6"/>
        <v>0</v>
      </c>
      <c r="O32" s="44"/>
      <c r="P32" s="46"/>
      <c r="Q32" s="46"/>
      <c r="R32" s="68"/>
      <c r="S32" s="69"/>
      <c r="T32" s="70">
        <f t="shared" si="7"/>
        <v>0</v>
      </c>
      <c r="U32" s="71">
        <f t="shared" si="4"/>
        <v>0</v>
      </c>
      <c r="V32" s="9"/>
      <c r="W32" s="9"/>
      <c r="AB32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</row>
    <row r="33" spans="1:43" s="10" customFormat="1" ht="30" customHeight="1" x14ac:dyDescent="0.35">
      <c r="A33" s="9"/>
      <c r="B33" s="87" t="s">
        <v>123</v>
      </c>
      <c r="C33" s="38" t="s">
        <v>124</v>
      </c>
      <c r="D33" s="16" t="s">
        <v>56</v>
      </c>
      <c r="E33" s="43" t="s">
        <v>122</v>
      </c>
      <c r="F33" s="88">
        <v>46320</v>
      </c>
      <c r="G33" s="88">
        <v>46332</v>
      </c>
      <c r="H33" s="66">
        <v>8</v>
      </c>
      <c r="I33" s="45"/>
      <c r="J33" s="67">
        <f t="shared" si="5"/>
        <v>0</v>
      </c>
      <c r="K33" s="44"/>
      <c r="L33" s="44"/>
      <c r="M33" s="45"/>
      <c r="N33" s="67">
        <f t="shared" si="6"/>
        <v>0</v>
      </c>
      <c r="O33" s="44"/>
      <c r="P33" s="46"/>
      <c r="Q33" s="46"/>
      <c r="R33" s="68"/>
      <c r="S33" s="69"/>
      <c r="T33" s="70">
        <f t="shared" si="7"/>
        <v>0</v>
      </c>
      <c r="U33" s="71">
        <f t="shared" si="4"/>
        <v>0</v>
      </c>
      <c r="V33" s="9"/>
      <c r="W33" s="9"/>
      <c r="AB33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</row>
    <row r="34" spans="1:43" s="10" customFormat="1" ht="30" customHeight="1" x14ac:dyDescent="0.35">
      <c r="A34" s="9"/>
      <c r="B34" s="87" t="s">
        <v>125</v>
      </c>
      <c r="C34" s="38" t="s">
        <v>126</v>
      </c>
      <c r="D34" s="16" t="s">
        <v>56</v>
      </c>
      <c r="E34" s="43" t="s">
        <v>127</v>
      </c>
      <c r="F34" s="88">
        <v>46326</v>
      </c>
      <c r="G34" s="88">
        <v>46332</v>
      </c>
      <c r="H34" s="66">
        <v>2</v>
      </c>
      <c r="I34" s="45"/>
      <c r="J34" s="67">
        <f t="shared" si="5"/>
        <v>0</v>
      </c>
      <c r="K34" s="44"/>
      <c r="L34" s="44"/>
      <c r="M34" s="45"/>
      <c r="N34" s="67">
        <f t="shared" si="6"/>
        <v>0</v>
      </c>
      <c r="O34" s="44"/>
      <c r="P34" s="46"/>
      <c r="Q34" s="46"/>
      <c r="R34" s="68"/>
      <c r="S34" s="69"/>
      <c r="T34" s="70">
        <f t="shared" si="7"/>
        <v>0</v>
      </c>
      <c r="U34" s="71">
        <f t="shared" si="4"/>
        <v>0</v>
      </c>
      <c r="V34" s="9"/>
      <c r="W34" s="9"/>
      <c r="AB34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</row>
    <row r="35" spans="1:43" s="10" customFormat="1" ht="30" customHeight="1" x14ac:dyDescent="0.35">
      <c r="A35" s="9"/>
      <c r="B35" s="87" t="s">
        <v>128</v>
      </c>
      <c r="C35" s="38" t="s">
        <v>129</v>
      </c>
      <c r="D35" s="16" t="s">
        <v>56</v>
      </c>
      <c r="E35" s="43" t="s">
        <v>127</v>
      </c>
      <c r="F35" s="88">
        <v>46326</v>
      </c>
      <c r="G35" s="88">
        <v>46332</v>
      </c>
      <c r="H35" s="66">
        <v>2</v>
      </c>
      <c r="I35" s="45"/>
      <c r="J35" s="67">
        <f t="shared" si="5"/>
        <v>0</v>
      </c>
      <c r="K35" s="44"/>
      <c r="L35" s="44"/>
      <c r="M35" s="45"/>
      <c r="N35" s="67">
        <f t="shared" si="6"/>
        <v>0</v>
      </c>
      <c r="O35" s="44"/>
      <c r="P35" s="46"/>
      <c r="Q35" s="46"/>
      <c r="R35" s="68"/>
      <c r="S35" s="69"/>
      <c r="T35" s="70">
        <f t="shared" si="7"/>
        <v>0</v>
      </c>
      <c r="U35" s="71">
        <f t="shared" si="4"/>
        <v>0</v>
      </c>
      <c r="V35" s="9"/>
      <c r="W35" s="9"/>
      <c r="AB35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</row>
    <row r="36" spans="1:43" s="10" customFormat="1" ht="30" customHeight="1" x14ac:dyDescent="0.35">
      <c r="A36" s="9"/>
      <c r="B36" s="87" t="s">
        <v>130</v>
      </c>
      <c r="C36" s="38" t="s">
        <v>131</v>
      </c>
      <c r="D36" s="16" t="s">
        <v>56</v>
      </c>
      <c r="E36" s="43" t="s">
        <v>132</v>
      </c>
      <c r="F36" s="88">
        <v>46333</v>
      </c>
      <c r="G36" s="88">
        <v>46338</v>
      </c>
      <c r="H36" s="66">
        <v>4</v>
      </c>
      <c r="I36" s="45"/>
      <c r="J36" s="67">
        <f t="shared" ref="J36" si="16">H36*I36</f>
        <v>0</v>
      </c>
      <c r="K36" s="44"/>
      <c r="L36" s="44"/>
      <c r="M36" s="45"/>
      <c r="N36" s="67">
        <f t="shared" ref="N36" si="17">L36*M36</f>
        <v>0</v>
      </c>
      <c r="O36" s="44"/>
      <c r="P36" s="46"/>
      <c r="Q36" s="46"/>
      <c r="R36" s="68"/>
      <c r="S36" s="69"/>
      <c r="T36" s="70">
        <f t="shared" ref="T36" si="18">J36+N36+P36+Q36+R36</f>
        <v>0</v>
      </c>
      <c r="U36" s="71">
        <f t="shared" ref="U36" si="19">T36-S36</f>
        <v>0</v>
      </c>
      <c r="V36" s="9"/>
      <c r="W36" s="9"/>
      <c r="AB36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</row>
    <row r="37" spans="1:43" s="10" customFormat="1" ht="30" customHeight="1" x14ac:dyDescent="0.35">
      <c r="A37" s="9"/>
      <c r="B37" s="87" t="s">
        <v>133</v>
      </c>
      <c r="C37" s="38" t="s">
        <v>134</v>
      </c>
      <c r="D37" s="16" t="s">
        <v>56</v>
      </c>
      <c r="E37" s="43" t="s">
        <v>135</v>
      </c>
      <c r="F37" s="88">
        <v>46333</v>
      </c>
      <c r="G37" s="88">
        <v>46345</v>
      </c>
      <c r="H37" s="66">
        <v>3</v>
      </c>
      <c r="I37" s="45"/>
      <c r="J37" s="67">
        <f t="shared" ref="J37" si="20">H37*I37</f>
        <v>0</v>
      </c>
      <c r="K37" s="44"/>
      <c r="L37" s="44"/>
      <c r="M37" s="45"/>
      <c r="N37" s="67">
        <f t="shared" ref="N37" si="21">L37*M37</f>
        <v>0</v>
      </c>
      <c r="O37" s="44"/>
      <c r="P37" s="46"/>
      <c r="Q37" s="46"/>
      <c r="R37" s="68"/>
      <c r="S37" s="69"/>
      <c r="T37" s="70">
        <f t="shared" ref="T37" si="22">J37+N37+P37+Q37+R37</f>
        <v>0</v>
      </c>
      <c r="U37" s="71">
        <f t="shared" ref="U37" si="23">T37-S37</f>
        <v>0</v>
      </c>
      <c r="V37" s="9"/>
      <c r="W37" s="9"/>
      <c r="X37"/>
      <c r="Y37"/>
      <c r="Z37"/>
      <c r="AA37"/>
      <c r="AB37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</row>
    <row r="38" spans="1:43" s="10" customFormat="1" ht="30" customHeight="1" x14ac:dyDescent="0.25">
      <c r="A38" s="9"/>
      <c r="B38" s="87" t="s">
        <v>136</v>
      </c>
      <c r="C38" s="38" t="s">
        <v>137</v>
      </c>
      <c r="D38" s="16" t="s">
        <v>56</v>
      </c>
      <c r="E38" s="43" t="s">
        <v>138</v>
      </c>
      <c r="F38" s="88">
        <v>46339</v>
      </c>
      <c r="G38" s="88">
        <v>46345</v>
      </c>
      <c r="H38" s="66">
        <v>4</v>
      </c>
      <c r="I38" s="45"/>
      <c r="J38" s="67">
        <f t="shared" si="5"/>
        <v>0</v>
      </c>
      <c r="K38" s="44"/>
      <c r="L38" s="44"/>
      <c r="M38" s="45"/>
      <c r="N38" s="67">
        <f t="shared" si="6"/>
        <v>0</v>
      </c>
      <c r="O38" s="44"/>
      <c r="P38" s="46"/>
      <c r="Q38" s="46"/>
      <c r="R38" s="68"/>
      <c r="S38" s="69"/>
      <c r="T38" s="70">
        <f t="shared" si="7"/>
        <v>0</v>
      </c>
      <c r="U38" s="71">
        <f t="shared" si="4"/>
        <v>0</v>
      </c>
      <c r="V38" s="9"/>
      <c r="W38" s="4"/>
      <c r="X38" s="4"/>
      <c r="Y38" s="4"/>
      <c r="Z38" s="4"/>
      <c r="AA38" s="4"/>
      <c r="AB38" s="4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</row>
    <row r="39" spans="1:43" s="10" customFormat="1" ht="30" customHeight="1" x14ac:dyDescent="0.25">
      <c r="A39" s="9"/>
      <c r="B39" s="21" t="s">
        <v>139</v>
      </c>
      <c r="C39" s="21"/>
      <c r="D39" s="39"/>
      <c r="E39" s="22"/>
      <c r="F39" s="22"/>
      <c r="G39" s="58"/>
      <c r="H39" s="50"/>
      <c r="I39" s="40"/>
      <c r="J39" s="42">
        <f>SUM(J14:J38)</f>
        <v>0</v>
      </c>
      <c r="K39" s="42"/>
      <c r="L39" s="42"/>
      <c r="M39" s="42"/>
      <c r="N39" s="42">
        <f>SUM(N14:N38)</f>
        <v>0</v>
      </c>
      <c r="O39" s="42"/>
      <c r="P39" s="42">
        <f>SUM(P14:P38)</f>
        <v>0</v>
      </c>
      <c r="Q39" s="42">
        <f>SUM(Q14:Q38)</f>
        <v>0</v>
      </c>
      <c r="R39" s="48">
        <f>SUM(R14:R38)</f>
        <v>0</v>
      </c>
      <c r="S39" s="55">
        <f>SUM(S14:S38)</f>
        <v>0</v>
      </c>
      <c r="T39" s="52">
        <f>SUM(J39:R39)</f>
        <v>0</v>
      </c>
      <c r="U39" s="52">
        <f>T39-S39</f>
        <v>0</v>
      </c>
      <c r="V39" s="9"/>
      <c r="W39" s="4"/>
      <c r="X39" s="4"/>
      <c r="Y39" s="4"/>
      <c r="Z39" s="4"/>
      <c r="AA39" s="4"/>
      <c r="AB39" s="4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</row>
    <row r="40" spans="1:43" s="10" customFormat="1" ht="11.15" customHeight="1" x14ac:dyDescent="0.25">
      <c r="A40" s="9"/>
      <c r="B40" s="11"/>
      <c r="C40" s="11"/>
      <c r="D40" s="11"/>
      <c r="E40" s="11"/>
      <c r="F40" s="11"/>
      <c r="G40" s="11"/>
      <c r="H40" s="12"/>
      <c r="I40" s="13"/>
      <c r="J40" s="13"/>
      <c r="K40" s="13"/>
      <c r="L40" s="12"/>
      <c r="M40" s="13"/>
      <c r="N40" s="13"/>
      <c r="O40" s="13"/>
      <c r="P40" s="12"/>
      <c r="Q40" s="12"/>
      <c r="R40" s="13"/>
      <c r="S40" s="14"/>
      <c r="T40" s="13"/>
      <c r="U40" s="15"/>
      <c r="V40" s="9"/>
      <c r="W40" s="4"/>
      <c r="X40" s="4"/>
      <c r="Y40" s="4"/>
      <c r="Z40" s="4"/>
      <c r="AA40" s="4"/>
      <c r="AB40" s="4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</row>
    <row r="41" spans="1:43" s="4" customFormat="1" ht="21" customHeight="1" x14ac:dyDescent="0.25">
      <c r="B41" s="6"/>
      <c r="C41" s="6"/>
      <c r="D41" s="6"/>
      <c r="E41" s="6"/>
      <c r="F41" s="6"/>
      <c r="G41" s="6"/>
      <c r="H41" s="1"/>
      <c r="I41" s="2"/>
      <c r="J41" s="2"/>
      <c r="K41" s="2"/>
      <c r="L41" s="1"/>
      <c r="M41" s="2"/>
      <c r="N41" s="2"/>
      <c r="O41" s="2"/>
      <c r="P41" s="1"/>
      <c r="Q41" s="1"/>
      <c r="R41" s="2"/>
      <c r="S41" s="7"/>
      <c r="T41" s="2"/>
      <c r="U41" s="3"/>
    </row>
    <row r="42" spans="1:43" x14ac:dyDescent="0.25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</row>
    <row r="43" spans="1:43" x14ac:dyDescent="0.25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</row>
    <row r="44" spans="1:43" x14ac:dyDescent="0.25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</row>
    <row r="45" spans="1:43" x14ac:dyDescent="0.2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</row>
    <row r="46" spans="1:43" x14ac:dyDescent="0.25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</row>
    <row r="47" spans="1:43" x14ac:dyDescent="0.25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</row>
    <row r="48" spans="1:43" x14ac:dyDescent="0.25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</row>
    <row r="49" spans="1:43" x14ac:dyDescent="0.25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</row>
    <row r="50" spans="1:43" x14ac:dyDescent="0.25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</row>
    <row r="51" spans="1:43" x14ac:dyDescent="0.25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</row>
    <row r="52" spans="1:43" x14ac:dyDescent="0.25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</row>
    <row r="53" spans="1:43" x14ac:dyDescent="0.25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</row>
    <row r="54" spans="1:43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</row>
    <row r="55" spans="1:43" x14ac:dyDescent="0.2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</row>
    <row r="56" spans="1:43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</row>
    <row r="57" spans="1:43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</row>
    <row r="58" spans="1:43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</row>
    <row r="59" spans="1:43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</row>
    <row r="60" spans="1:43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</row>
    <row r="61" spans="1:43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</row>
    <row r="62" spans="1:43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</row>
    <row r="63" spans="1:43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</row>
    <row r="64" spans="1:43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</row>
    <row r="65" spans="1:43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</row>
    <row r="66" spans="1:43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</row>
    <row r="67" spans="1:43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</row>
    <row r="68" spans="1:43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</row>
    <row r="69" spans="1:43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</row>
    <row r="70" spans="1:43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</row>
    <row r="71" spans="1:43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</row>
    <row r="72" spans="1:43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</row>
    <row r="73" spans="1:43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</row>
    <row r="74" spans="1:43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</row>
    <row r="75" spans="1:43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</row>
    <row r="76" spans="1:43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</row>
    <row r="77" spans="1:43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</row>
    <row r="78" spans="1:43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</row>
    <row r="79" spans="1:43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</row>
    <row r="80" spans="1:43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</row>
    <row r="81" spans="1:43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</row>
    <row r="82" spans="1:43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</row>
    <row r="83" spans="1:43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</row>
    <row r="84" spans="1:43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</row>
    <row r="85" spans="1:43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</row>
    <row r="86" spans="1:43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</row>
    <row r="87" spans="1:43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</row>
    <row r="88" spans="1:43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</row>
    <row r="89" spans="1:43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</row>
    <row r="90" spans="1:43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</row>
    <row r="91" spans="1:43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</row>
    <row r="92" spans="1:43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</row>
    <row r="93" spans="1:43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</row>
    <row r="94" spans="1:43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</row>
    <row r="95" spans="1:43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</row>
    <row r="96" spans="1:43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</row>
    <row r="97" spans="1:23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</row>
    <row r="98" spans="1:23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</row>
    <row r="99" spans="1:23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</row>
    <row r="100" spans="1:23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</row>
    <row r="101" spans="1:23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</row>
    <row r="102" spans="1:23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</row>
    <row r="103" spans="1:23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</row>
    <row r="104" spans="1:23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</row>
    <row r="105" spans="1:23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</row>
    <row r="106" spans="1:23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</row>
    <row r="107" spans="1:23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</row>
    <row r="108" spans="1:23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</row>
    <row r="109" spans="1:23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</row>
    <row r="110" spans="1:23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</row>
    <row r="111" spans="1:23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</row>
    <row r="112" spans="1:23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</row>
    <row r="113" spans="1:23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</row>
    <row r="114" spans="1:23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</row>
    <row r="115" spans="1:23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</row>
    <row r="116" spans="1:23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</row>
    <row r="117" spans="1:23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</row>
    <row r="118" spans="1:23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</row>
    <row r="119" spans="1:23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</row>
    <row r="120" spans="1:23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</row>
    <row r="121" spans="1:23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</row>
    <row r="122" spans="1:23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</row>
    <row r="123" spans="1:23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</row>
    <row r="124" spans="1:23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</row>
    <row r="125" spans="1:23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</row>
    <row r="126" spans="1:23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</row>
    <row r="127" spans="1:23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</row>
    <row r="128" spans="1:23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</row>
    <row r="129" spans="1:23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</row>
    <row r="130" spans="1:23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</row>
    <row r="131" spans="1:23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</row>
    <row r="132" spans="1:23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</row>
    <row r="133" spans="1:23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</row>
    <row r="134" spans="1:23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</row>
    <row r="135" spans="1:23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</row>
    <row r="136" spans="1:23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</row>
    <row r="137" spans="1:23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</row>
    <row r="138" spans="1:23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</row>
    <row r="139" spans="1:23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</row>
    <row r="140" spans="1:23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</row>
    <row r="141" spans="1:23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</row>
    <row r="142" spans="1:23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</row>
    <row r="143" spans="1:23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</row>
    <row r="144" spans="1:23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</row>
    <row r="145" spans="1:23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</row>
    <row r="146" spans="1:23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</row>
    <row r="147" spans="1:23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</row>
    <row r="148" spans="1:23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</row>
    <row r="149" spans="1:23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</row>
    <row r="150" spans="1:23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</row>
    <row r="151" spans="1:23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</row>
    <row r="152" spans="1:23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</row>
    <row r="153" spans="1:23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</row>
    <row r="154" spans="1:23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</row>
    <row r="155" spans="1:23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</row>
    <row r="156" spans="1:23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</row>
    <row r="157" spans="1:23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</row>
    <row r="158" spans="1:23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</row>
    <row r="159" spans="1:23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</row>
    <row r="160" spans="1:23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</row>
    <row r="161" spans="1:23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</row>
    <row r="162" spans="1:23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</row>
    <row r="163" spans="1:23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</row>
    <row r="164" spans="1:23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</row>
    <row r="165" spans="1:23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</row>
    <row r="166" spans="1:23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</row>
    <row r="167" spans="1:23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</row>
    <row r="168" spans="1:23" x14ac:dyDescent="0.2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</row>
    <row r="169" spans="1:23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</row>
    <row r="170" spans="1:23" x14ac:dyDescent="0.2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</row>
    <row r="171" spans="1:23" x14ac:dyDescent="0.2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</row>
    <row r="172" spans="1:23" x14ac:dyDescent="0.2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</row>
    <row r="173" spans="1:23" x14ac:dyDescent="0.2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</row>
    <row r="174" spans="1:23" x14ac:dyDescent="0.2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</row>
    <row r="175" spans="1:23" x14ac:dyDescent="0.2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</row>
    <row r="176" spans="1:23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</row>
    <row r="177" spans="1:23" x14ac:dyDescent="0.2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</row>
    <row r="178" spans="1:23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</row>
    <row r="179" spans="1:23" x14ac:dyDescent="0.2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</row>
    <row r="180" spans="1:23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</row>
    <row r="181" spans="1:23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</row>
    <row r="182" spans="1:23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</row>
    <row r="183" spans="1:23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</row>
    <row r="184" spans="1:23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</row>
    <row r="185" spans="1:23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</row>
    <row r="186" spans="1:23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</row>
    <row r="187" spans="1:23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</row>
    <row r="188" spans="1:23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</row>
    <row r="189" spans="1:23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</row>
    <row r="190" spans="1:23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</row>
    <row r="191" spans="1:23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</row>
    <row r="192" spans="1:23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</row>
    <row r="193" spans="1:23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</row>
    <row r="194" spans="1:23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</row>
    <row r="195" spans="1:23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</row>
    <row r="196" spans="1:23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</row>
    <row r="197" spans="1:23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</row>
    <row r="198" spans="1:23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</row>
    <row r="199" spans="1:23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</row>
    <row r="200" spans="1:23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</row>
    <row r="201" spans="1:23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</row>
    <row r="202" spans="1:23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</row>
    <row r="203" spans="1:23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</row>
    <row r="204" spans="1:23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</row>
    <row r="205" spans="1:23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</row>
    <row r="206" spans="1:23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</row>
    <row r="207" spans="1:23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</row>
    <row r="208" spans="1:23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</row>
    <row r="209" spans="1:23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</row>
    <row r="210" spans="1:23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</row>
    <row r="211" spans="1:23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</row>
    <row r="212" spans="1:23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</row>
    <row r="213" spans="1:23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</row>
    <row r="214" spans="1:23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</row>
    <row r="215" spans="1:23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</row>
    <row r="216" spans="1:23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</row>
    <row r="217" spans="1:23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</row>
    <row r="218" spans="1:23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</row>
    <row r="219" spans="1:23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</row>
    <row r="220" spans="1:23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</row>
    <row r="221" spans="1:23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</row>
    <row r="222" spans="1:23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</row>
    <row r="223" spans="1:23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</row>
    <row r="224" spans="1:23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</row>
    <row r="225" spans="1:23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</row>
    <row r="226" spans="1:23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</row>
    <row r="227" spans="1:23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</row>
    <row r="228" spans="1:23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</row>
    <row r="229" spans="1:23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</row>
    <row r="230" spans="1:23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</row>
    <row r="231" spans="1:23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</row>
    <row r="232" spans="1:23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</row>
    <row r="233" spans="1:23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</row>
    <row r="234" spans="1:23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</row>
    <row r="235" spans="1:23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</row>
    <row r="236" spans="1:23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</row>
    <row r="237" spans="1:23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</row>
    <row r="238" spans="1:23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</row>
    <row r="239" spans="1:23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</row>
    <row r="240" spans="1:23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</row>
    <row r="241" spans="1:23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</row>
    <row r="242" spans="1:23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</row>
    <row r="243" spans="1:23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</row>
    <row r="244" spans="1:23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</row>
    <row r="245" spans="1:23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</row>
    <row r="246" spans="1:23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</row>
    <row r="247" spans="1:23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</row>
    <row r="248" spans="1:23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</row>
    <row r="249" spans="1:23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</row>
    <row r="250" spans="1:23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</row>
    <row r="251" spans="1:23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</row>
    <row r="252" spans="1:23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</row>
    <row r="253" spans="1:23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</row>
    <row r="254" spans="1:23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</row>
    <row r="255" spans="1:23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</row>
    <row r="256" spans="1:23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</row>
    <row r="257" spans="1:23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</row>
    <row r="258" spans="1:23" x14ac:dyDescent="0.2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</row>
    <row r="259" spans="1:23" x14ac:dyDescent="0.2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</row>
    <row r="260" spans="1:23" x14ac:dyDescent="0.2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</row>
    <row r="261" spans="1:23" x14ac:dyDescent="0.2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</row>
    <row r="262" spans="1:23" x14ac:dyDescent="0.2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</row>
    <row r="263" spans="1:23" x14ac:dyDescent="0.2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</row>
    <row r="264" spans="1:23" x14ac:dyDescent="0.2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</row>
    <row r="265" spans="1:23" x14ac:dyDescent="0.2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</row>
    <row r="266" spans="1:23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</row>
    <row r="267" spans="1:23" x14ac:dyDescent="0.2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</row>
    <row r="268" spans="1:23" x14ac:dyDescent="0.2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</row>
    <row r="269" spans="1:23" x14ac:dyDescent="0.2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</row>
    <row r="270" spans="1:23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</row>
    <row r="271" spans="1:23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</row>
    <row r="272" spans="1:23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</row>
    <row r="273" spans="1:23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</row>
    <row r="274" spans="1:23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</row>
    <row r="275" spans="1:23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</row>
    <row r="276" spans="1:23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</row>
    <row r="277" spans="1:23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</row>
    <row r="278" spans="1:23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</row>
    <row r="279" spans="1:23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</row>
    <row r="280" spans="1:23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</row>
    <row r="281" spans="1:23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</row>
    <row r="282" spans="1:23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</row>
    <row r="283" spans="1:23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</row>
    <row r="284" spans="1:23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</row>
    <row r="285" spans="1:23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</row>
    <row r="286" spans="1:23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</row>
    <row r="287" spans="1:23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</row>
    <row r="288" spans="1:23" x14ac:dyDescent="0.2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</row>
    <row r="289" spans="1:23" x14ac:dyDescent="0.2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</row>
    <row r="290" spans="1:23" x14ac:dyDescent="0.2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</row>
    <row r="291" spans="1:23" x14ac:dyDescent="0.2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</row>
    <row r="292" spans="1:23" x14ac:dyDescent="0.2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</row>
    <row r="293" spans="1:23" x14ac:dyDescent="0.2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</row>
    <row r="294" spans="1:23" x14ac:dyDescent="0.2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</row>
    <row r="295" spans="1:23" x14ac:dyDescent="0.2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</row>
    <row r="296" spans="1:23" x14ac:dyDescent="0.2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</row>
    <row r="297" spans="1:23" x14ac:dyDescent="0.2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</row>
    <row r="298" spans="1:23" x14ac:dyDescent="0.2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</row>
    <row r="299" spans="1:23" x14ac:dyDescent="0.2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</row>
    <row r="300" spans="1:23" x14ac:dyDescent="0.2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</row>
    <row r="301" spans="1:23" x14ac:dyDescent="0.25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</row>
    <row r="302" spans="1:23" x14ac:dyDescent="0.25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</row>
    <row r="303" spans="1:23" x14ac:dyDescent="0.25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</row>
    <row r="304" spans="1:23" x14ac:dyDescent="0.2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</row>
    <row r="305" spans="1:23" x14ac:dyDescent="0.2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</row>
    <row r="306" spans="1:23" x14ac:dyDescent="0.2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</row>
    <row r="307" spans="1:23" x14ac:dyDescent="0.2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</row>
    <row r="308" spans="1:23" x14ac:dyDescent="0.2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</row>
    <row r="309" spans="1:23" x14ac:dyDescent="0.2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</row>
    <row r="310" spans="1:23" x14ac:dyDescent="0.2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</row>
    <row r="311" spans="1:23" x14ac:dyDescent="0.2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</row>
    <row r="312" spans="1:23" x14ac:dyDescent="0.2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</row>
    <row r="313" spans="1:23" x14ac:dyDescent="0.2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</row>
    <row r="314" spans="1:23" x14ac:dyDescent="0.2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</row>
    <row r="315" spans="1:23" x14ac:dyDescent="0.2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</row>
    <row r="316" spans="1:23" x14ac:dyDescent="0.2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</row>
    <row r="317" spans="1:23" x14ac:dyDescent="0.2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</row>
    <row r="318" spans="1:23" x14ac:dyDescent="0.2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</row>
    <row r="319" spans="1:23" x14ac:dyDescent="0.2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</row>
    <row r="320" spans="1:23" x14ac:dyDescent="0.2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</row>
    <row r="321" spans="1:23" x14ac:dyDescent="0.2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</row>
    <row r="322" spans="1:23" x14ac:dyDescent="0.2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</row>
    <row r="323" spans="1:23" x14ac:dyDescent="0.2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</row>
    <row r="324" spans="1:23" x14ac:dyDescent="0.2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</row>
    <row r="325" spans="1:23" x14ac:dyDescent="0.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</row>
    <row r="326" spans="1:23" x14ac:dyDescent="0.2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</row>
    <row r="327" spans="1:23" x14ac:dyDescent="0.2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</row>
    <row r="328" spans="1:23" x14ac:dyDescent="0.2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</row>
    <row r="329" spans="1:23" x14ac:dyDescent="0.2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</row>
    <row r="330" spans="1:23" x14ac:dyDescent="0.2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</row>
    <row r="331" spans="1:23" x14ac:dyDescent="0.2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</row>
    <row r="332" spans="1:23" x14ac:dyDescent="0.2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</row>
    <row r="333" spans="1:23" x14ac:dyDescent="0.2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</row>
    <row r="334" spans="1:23" x14ac:dyDescent="0.2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</row>
    <row r="335" spans="1:23" x14ac:dyDescent="0.2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</row>
    <row r="336" spans="1:23" x14ac:dyDescent="0.2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</row>
    <row r="337" spans="1:23" x14ac:dyDescent="0.2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</row>
    <row r="338" spans="1:23" x14ac:dyDescent="0.2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</row>
    <row r="339" spans="1:23" x14ac:dyDescent="0.2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</row>
    <row r="340" spans="1:23" x14ac:dyDescent="0.2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</row>
    <row r="341" spans="1:23" x14ac:dyDescent="0.2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</row>
    <row r="342" spans="1:23" x14ac:dyDescent="0.2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</row>
    <row r="343" spans="1:23" x14ac:dyDescent="0.2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</row>
    <row r="344" spans="1:23" x14ac:dyDescent="0.2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</row>
    <row r="345" spans="1:23" x14ac:dyDescent="0.2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</row>
    <row r="346" spans="1:23" x14ac:dyDescent="0.2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</row>
    <row r="347" spans="1:23" x14ac:dyDescent="0.2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</row>
    <row r="348" spans="1:23" x14ac:dyDescent="0.2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</row>
    <row r="349" spans="1:23" x14ac:dyDescent="0.2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</row>
    <row r="350" spans="1:23" x14ac:dyDescent="0.2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</row>
    <row r="351" spans="1:23" x14ac:dyDescent="0.2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</row>
    <row r="352" spans="1:23" x14ac:dyDescent="0.2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</row>
    <row r="353" spans="1:23" x14ac:dyDescent="0.2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</row>
    <row r="354" spans="1:23" x14ac:dyDescent="0.2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</row>
    <row r="355" spans="1:23" x14ac:dyDescent="0.2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</row>
    <row r="356" spans="1:23" x14ac:dyDescent="0.2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</row>
    <row r="357" spans="1:23" x14ac:dyDescent="0.2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</row>
    <row r="358" spans="1:23" x14ac:dyDescent="0.2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</row>
    <row r="359" spans="1:23" x14ac:dyDescent="0.2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</row>
    <row r="360" spans="1:23" x14ac:dyDescent="0.2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</row>
    <row r="361" spans="1:23" x14ac:dyDescent="0.2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</row>
    <row r="362" spans="1:23" x14ac:dyDescent="0.2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</row>
    <row r="363" spans="1:23" x14ac:dyDescent="0.2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</row>
    <row r="364" spans="1:23" x14ac:dyDescent="0.2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</row>
    <row r="365" spans="1:23" x14ac:dyDescent="0.2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</row>
    <row r="366" spans="1:23" x14ac:dyDescent="0.2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</row>
    <row r="367" spans="1:23" x14ac:dyDescent="0.2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</row>
    <row r="368" spans="1:23" x14ac:dyDescent="0.2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</row>
    <row r="369" spans="1:23" x14ac:dyDescent="0.2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</row>
    <row r="370" spans="1:23" x14ac:dyDescent="0.2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</row>
    <row r="371" spans="1:23" x14ac:dyDescent="0.2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</row>
    <row r="372" spans="1:23" x14ac:dyDescent="0.2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</row>
    <row r="373" spans="1:23" x14ac:dyDescent="0.2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</row>
    <row r="374" spans="1:23" x14ac:dyDescent="0.2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</row>
    <row r="375" spans="1:23" x14ac:dyDescent="0.2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</row>
    <row r="376" spans="1:23" x14ac:dyDescent="0.2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</row>
    <row r="377" spans="1:23" x14ac:dyDescent="0.2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</row>
    <row r="378" spans="1:23" x14ac:dyDescent="0.2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</row>
    <row r="379" spans="1:23" x14ac:dyDescent="0.2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</row>
    <row r="380" spans="1:23" x14ac:dyDescent="0.2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</row>
    <row r="381" spans="1:23" x14ac:dyDescent="0.2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</row>
    <row r="382" spans="1:23" x14ac:dyDescent="0.2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</row>
    <row r="383" spans="1:23" x14ac:dyDescent="0.2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</row>
    <row r="384" spans="1:23" x14ac:dyDescent="0.2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</row>
    <row r="385" spans="1:23" x14ac:dyDescent="0.2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</row>
    <row r="386" spans="1:23" x14ac:dyDescent="0.2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</row>
    <row r="387" spans="1:23" x14ac:dyDescent="0.2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</row>
    <row r="388" spans="1:23" x14ac:dyDescent="0.2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</row>
    <row r="389" spans="1:23" x14ac:dyDescent="0.2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</row>
    <row r="390" spans="1:23" x14ac:dyDescent="0.2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</row>
    <row r="391" spans="1:23" x14ac:dyDescent="0.2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</row>
    <row r="392" spans="1:23" x14ac:dyDescent="0.2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</row>
    <row r="393" spans="1:23" x14ac:dyDescent="0.2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</row>
    <row r="394" spans="1:23" x14ac:dyDescent="0.2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</row>
    <row r="395" spans="1:23" x14ac:dyDescent="0.2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</row>
    <row r="396" spans="1:23" x14ac:dyDescent="0.2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</row>
    <row r="397" spans="1:23" x14ac:dyDescent="0.2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</row>
    <row r="398" spans="1:23" x14ac:dyDescent="0.2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</row>
    <row r="399" spans="1:23" x14ac:dyDescent="0.2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</row>
    <row r="400" spans="1:23" x14ac:dyDescent="0.2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</row>
    <row r="401" spans="1:23" x14ac:dyDescent="0.2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</row>
    <row r="402" spans="1:23" x14ac:dyDescent="0.2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</row>
    <row r="403" spans="1:23" x14ac:dyDescent="0.2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</row>
    <row r="404" spans="1:23" x14ac:dyDescent="0.2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</row>
    <row r="405" spans="1:23" x14ac:dyDescent="0.2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</row>
    <row r="406" spans="1:23" x14ac:dyDescent="0.2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</row>
    <row r="407" spans="1:23" x14ac:dyDescent="0.2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</row>
    <row r="408" spans="1:23" x14ac:dyDescent="0.2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</row>
    <row r="409" spans="1:23" x14ac:dyDescent="0.2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</row>
    <row r="410" spans="1:23" x14ac:dyDescent="0.2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</row>
    <row r="411" spans="1:23" x14ac:dyDescent="0.2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</row>
    <row r="412" spans="1:23" x14ac:dyDescent="0.2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</row>
    <row r="413" spans="1:23" x14ac:dyDescent="0.2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</row>
    <row r="414" spans="1:23" x14ac:dyDescent="0.2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</row>
    <row r="415" spans="1:23" x14ac:dyDescent="0.2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</row>
    <row r="416" spans="1:23" x14ac:dyDescent="0.2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</row>
    <row r="417" spans="1:23" x14ac:dyDescent="0.2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</row>
    <row r="418" spans="1:23" x14ac:dyDescent="0.2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</row>
    <row r="419" spans="1:23" x14ac:dyDescent="0.2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</row>
    <row r="420" spans="1:23" x14ac:dyDescent="0.2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</row>
    <row r="421" spans="1:23" x14ac:dyDescent="0.2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</row>
    <row r="422" spans="1:23" x14ac:dyDescent="0.2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</row>
    <row r="423" spans="1:23" x14ac:dyDescent="0.2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</row>
    <row r="424" spans="1:23" x14ac:dyDescent="0.2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</row>
    <row r="425" spans="1:23" x14ac:dyDescent="0.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</row>
    <row r="426" spans="1:23" x14ac:dyDescent="0.2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</row>
    <row r="427" spans="1:23" x14ac:dyDescent="0.2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</row>
    <row r="428" spans="1:23" x14ac:dyDescent="0.2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</row>
    <row r="429" spans="1:23" x14ac:dyDescent="0.2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</row>
  </sheetData>
  <mergeCells count="5">
    <mergeCell ref="X10:Y10"/>
    <mergeCell ref="K2:N2"/>
    <mergeCell ref="O2:R2"/>
    <mergeCell ref="H2:J2"/>
    <mergeCell ref="S2:U2"/>
  </mergeCells>
  <conditionalFormatting sqref="D4:D38">
    <cfRule type="containsText" dxfId="26" priority="24" operator="containsText" text="Approved">
      <formula>NOT(ISERROR(SEARCH("Approved",D4)))</formula>
    </cfRule>
    <cfRule type="containsText" dxfId="25" priority="25" operator="containsText" text="Needs Review">
      <formula>NOT(ISERROR(SEARCH("Needs Review",D4)))</formula>
    </cfRule>
    <cfRule type="containsText" dxfId="24" priority="26" operator="containsText" text="Not Started">
      <formula>NOT(ISERROR(SEARCH("Not Started",D4)))</formula>
    </cfRule>
    <cfRule type="containsText" dxfId="23" priority="27" operator="containsText" text="On Hold">
      <formula>NOT(ISERROR(SEARCH("On Hold",D4)))</formula>
    </cfRule>
    <cfRule type="containsText" dxfId="22" priority="28" operator="containsText" text="Overdue">
      <formula>NOT(ISERROR(SEARCH("Overdue",D4)))</formula>
    </cfRule>
    <cfRule type="containsText" dxfId="21" priority="29" operator="containsText" text="Complete">
      <formula>NOT(ISERROR(SEARCH("Complete",D4)))</formula>
    </cfRule>
    <cfRule type="containsText" dxfId="20" priority="30" operator="containsText" text="In Progress">
      <formula>NOT(ISERROR(SEARCH("In Progress",D4)))</formula>
    </cfRule>
  </conditionalFormatting>
  <conditionalFormatting sqref="D5:D38">
    <cfRule type="cellIs" dxfId="19" priority="16" operator="equal">
      <formula>"No Iniciado"</formula>
    </cfRule>
    <cfRule type="cellIs" dxfId="18" priority="17" operator="equal">
      <formula>"Aprobado"</formula>
    </cfRule>
    <cfRule type="cellIs" dxfId="17" priority="18" operator="equal">
      <formula>"En Espera"</formula>
    </cfRule>
    <cfRule type="cellIs" dxfId="16" priority="19" operator="equal">
      <formula>"Atrasado"</formula>
    </cfRule>
    <cfRule type="cellIs" dxfId="15" priority="20" operator="equal">
      <formula>"Aprovado"</formula>
    </cfRule>
    <cfRule type="cellIs" dxfId="14" priority="21" operator="equal">
      <formula>"Requiere Revisión"</formula>
    </cfRule>
    <cfRule type="cellIs" dxfId="13" priority="22" operator="equal">
      <formula>"En Progreso"</formula>
    </cfRule>
    <cfRule type="cellIs" dxfId="12" priority="23" operator="equal">
      <formula>"Completo"</formula>
    </cfRule>
  </conditionalFormatting>
  <conditionalFormatting sqref="U5:U39">
    <cfRule type="cellIs" dxfId="11" priority="44" operator="lessThan">
      <formula>0</formula>
    </cfRule>
    <cfRule type="cellIs" dxfId="10" priority="45" operator="greaterThan">
      <formula>0</formula>
    </cfRule>
  </conditionalFormatting>
  <conditionalFormatting sqref="U40"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41"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3" right="0.3" top="0.3" bottom="0.3" header="0" footer="0"/>
  <pageSetup scale="63" fitToHeight="0" orientation="landscape" horizontalDpi="4294967292" verticalDpi="4294967292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314EDA-12D6-2749-B3F6-EF76459AD42E}">
          <x14:formula1>
            <xm:f>'listas desplegables'!$F$3:$F$11</xm:f>
          </x14:formula1>
          <xm:sqref>D4:D38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3ABFF-7BF5-4558-9326-F1049C4EC842}">
  <dimension ref="B1:U37"/>
  <sheetViews>
    <sheetView tabSelected="1" topLeftCell="C1" zoomScaleNormal="100" workbookViewId="0">
      <selection activeCell="H16" sqref="H16"/>
    </sheetView>
  </sheetViews>
  <sheetFormatPr baseColWidth="10" defaultColWidth="11.08203125" defaultRowHeight="15.5" x14ac:dyDescent="0.35"/>
  <cols>
    <col min="1" max="1" width="4.58203125" bestFit="1" customWidth="1"/>
    <col min="2" max="2" width="24.75" bestFit="1" customWidth="1"/>
    <col min="3" max="3" width="12.08203125" bestFit="1" customWidth="1"/>
    <col min="4" max="4" width="12.08203125" customWidth="1"/>
    <col min="5" max="5" width="8" customWidth="1"/>
    <col min="6" max="6" width="4.58203125" bestFit="1" customWidth="1"/>
    <col min="7" max="7" width="11.5" bestFit="1" customWidth="1"/>
    <col min="8" max="8" width="79.58203125" bestFit="1" customWidth="1"/>
    <col min="9" max="9" width="14.58203125" bestFit="1" customWidth="1"/>
    <col min="12" max="12" width="18.83203125" bestFit="1" customWidth="1"/>
    <col min="13" max="14" width="14.25" customWidth="1"/>
    <col min="15" max="15" width="15.83203125" customWidth="1"/>
    <col min="18" max="18" width="35.33203125" customWidth="1"/>
    <col min="19" max="20" width="28" customWidth="1"/>
    <col min="21" max="21" width="20.75" customWidth="1"/>
  </cols>
  <sheetData>
    <row r="1" spans="2:21" ht="40.15" customHeight="1" thickBot="1" x14ac:dyDescent="0.4">
      <c r="B1" s="120" t="s">
        <v>32</v>
      </c>
      <c r="C1" s="120"/>
      <c r="D1" s="120"/>
      <c r="F1" s="121" t="s">
        <v>39</v>
      </c>
      <c r="G1" s="121"/>
      <c r="H1" s="121"/>
      <c r="I1" s="121"/>
      <c r="K1" s="121" t="s">
        <v>44</v>
      </c>
      <c r="L1" s="121"/>
      <c r="M1" s="121"/>
      <c r="N1" s="121"/>
      <c r="O1" s="121"/>
      <c r="Q1" s="121" t="s">
        <v>48</v>
      </c>
      <c r="R1" s="122"/>
      <c r="S1" s="122"/>
      <c r="T1" s="122"/>
      <c r="U1" s="122"/>
    </row>
    <row r="2" spans="2:21" ht="16" thickBot="1" x14ac:dyDescent="0.4">
      <c r="B2" s="93" t="s">
        <v>140</v>
      </c>
      <c r="C2" s="94" t="s">
        <v>141</v>
      </c>
      <c r="D2" s="94" t="s">
        <v>142</v>
      </c>
      <c r="F2" s="95" t="s">
        <v>143</v>
      </c>
      <c r="G2" s="95" t="s">
        <v>144</v>
      </c>
      <c r="H2" s="95" t="s">
        <v>145</v>
      </c>
      <c r="I2" s="95" t="s">
        <v>146</v>
      </c>
      <c r="J2" s="89"/>
      <c r="K2" s="95" t="s">
        <v>143</v>
      </c>
      <c r="L2" s="95" t="s">
        <v>144</v>
      </c>
      <c r="M2" s="95" t="s">
        <v>147</v>
      </c>
      <c r="N2" s="95" t="s">
        <v>148</v>
      </c>
      <c r="O2" s="95" t="s">
        <v>146</v>
      </c>
      <c r="Q2" s="95" t="s">
        <v>143</v>
      </c>
      <c r="R2" s="95" t="s">
        <v>144</v>
      </c>
      <c r="S2" s="95" t="s">
        <v>145</v>
      </c>
      <c r="T2" t="s">
        <v>149</v>
      </c>
      <c r="U2" s="95" t="s">
        <v>146</v>
      </c>
    </row>
    <row r="3" spans="2:21" x14ac:dyDescent="0.35">
      <c r="B3" s="91" t="s">
        <v>150</v>
      </c>
      <c r="C3" s="92">
        <v>6136000</v>
      </c>
      <c r="D3" s="92">
        <v>33714</v>
      </c>
      <c r="F3" s="96" t="s">
        <v>151</v>
      </c>
      <c r="G3" s="96" t="s">
        <v>152</v>
      </c>
      <c r="H3" s="96" t="s">
        <v>153</v>
      </c>
      <c r="I3" s="106">
        <v>3699000</v>
      </c>
      <c r="J3" s="89"/>
      <c r="K3" s="96" t="s">
        <v>154</v>
      </c>
      <c r="L3" s="96" t="s">
        <v>155</v>
      </c>
      <c r="M3" s="96">
        <v>2</v>
      </c>
      <c r="N3" s="106">
        <v>20000</v>
      </c>
      <c r="O3" s="106">
        <v>40000</v>
      </c>
      <c r="Q3" s="96" t="s">
        <v>156</v>
      </c>
      <c r="R3" s="96" t="s">
        <v>157</v>
      </c>
      <c r="S3" s="96" t="s">
        <v>158</v>
      </c>
      <c r="T3" s="106">
        <v>3500000</v>
      </c>
      <c r="U3" s="106">
        <v>3500000</v>
      </c>
    </row>
    <row r="4" spans="2:21" x14ac:dyDescent="0.35">
      <c r="B4" s="90" t="s">
        <v>159</v>
      </c>
      <c r="C4" s="92">
        <v>5664000</v>
      </c>
      <c r="D4" s="92">
        <v>31121</v>
      </c>
      <c r="F4" s="96" t="s">
        <v>37</v>
      </c>
      <c r="G4" s="96" t="s">
        <v>152</v>
      </c>
      <c r="H4" s="96" t="s">
        <v>160</v>
      </c>
      <c r="I4" s="106">
        <v>3220000</v>
      </c>
      <c r="J4" s="89"/>
      <c r="K4" s="96" t="s">
        <v>161</v>
      </c>
      <c r="L4" s="96" t="s">
        <v>162</v>
      </c>
      <c r="M4" s="96">
        <v>6</v>
      </c>
      <c r="N4" s="106">
        <v>15000</v>
      </c>
      <c r="O4" s="106">
        <v>90000</v>
      </c>
      <c r="Q4" s="96" t="s">
        <v>163</v>
      </c>
      <c r="R4" s="96" t="s">
        <v>164</v>
      </c>
      <c r="S4" s="96" t="s">
        <v>165</v>
      </c>
      <c r="T4" s="106">
        <f>U4/3</f>
        <v>2833333.3333333335</v>
      </c>
      <c r="U4" s="106">
        <v>8500000</v>
      </c>
    </row>
    <row r="5" spans="2:21" x14ac:dyDescent="0.35">
      <c r="B5" s="90" t="s">
        <v>166</v>
      </c>
      <c r="C5" s="92">
        <v>5192000</v>
      </c>
      <c r="D5" s="92">
        <v>28527</v>
      </c>
      <c r="F5" s="96" t="s">
        <v>42</v>
      </c>
      <c r="G5" s="96" t="s">
        <v>152</v>
      </c>
      <c r="H5" s="96" t="s">
        <v>167</v>
      </c>
      <c r="I5" s="106">
        <v>3499900</v>
      </c>
      <c r="J5" s="89"/>
      <c r="K5" s="96" t="s">
        <v>168</v>
      </c>
      <c r="L5" s="96" t="s">
        <v>169</v>
      </c>
      <c r="M5" s="96">
        <v>6</v>
      </c>
      <c r="N5" s="106">
        <v>30000</v>
      </c>
      <c r="O5" s="106">
        <v>180000</v>
      </c>
      <c r="Q5" s="96" t="s">
        <v>170</v>
      </c>
      <c r="R5" s="96" t="s">
        <v>171</v>
      </c>
      <c r="S5" s="96" t="s">
        <v>158</v>
      </c>
      <c r="T5" s="106">
        <v>1500000</v>
      </c>
      <c r="U5" s="106">
        <v>1500000</v>
      </c>
    </row>
    <row r="6" spans="2:21" x14ac:dyDescent="0.35">
      <c r="B6" s="90" t="s">
        <v>172</v>
      </c>
      <c r="C6" s="92">
        <v>4248000</v>
      </c>
      <c r="D6" s="92">
        <v>23341</v>
      </c>
      <c r="F6" s="96" t="s">
        <v>173</v>
      </c>
      <c r="G6" s="96" t="s">
        <v>152</v>
      </c>
      <c r="H6" s="96" t="s">
        <v>174</v>
      </c>
      <c r="I6" s="106">
        <v>2299900</v>
      </c>
      <c r="J6" s="89"/>
      <c r="K6" s="96" t="s">
        <v>175</v>
      </c>
      <c r="L6" s="96" t="s">
        <v>176</v>
      </c>
      <c r="M6" s="96">
        <v>12</v>
      </c>
      <c r="N6" s="106">
        <v>2500</v>
      </c>
      <c r="O6" s="106">
        <v>30000</v>
      </c>
      <c r="Q6" s="96" t="s">
        <v>177</v>
      </c>
      <c r="R6" s="109" t="s">
        <v>178</v>
      </c>
      <c r="S6" s="109" t="s">
        <v>158</v>
      </c>
      <c r="T6" s="106">
        <v>3400000</v>
      </c>
      <c r="U6" s="106">
        <v>3400000</v>
      </c>
    </row>
    <row r="7" spans="2:21" x14ac:dyDescent="0.35">
      <c r="B7" s="90" t="s">
        <v>179</v>
      </c>
      <c r="C7" s="92">
        <v>3304000</v>
      </c>
      <c r="D7" s="92">
        <v>18154</v>
      </c>
      <c r="F7" s="96" t="s">
        <v>180</v>
      </c>
      <c r="G7" s="96" t="s">
        <v>152</v>
      </c>
      <c r="H7" s="96" t="s">
        <v>174</v>
      </c>
      <c r="I7" s="106">
        <v>2299900</v>
      </c>
      <c r="J7" s="89"/>
      <c r="K7" s="96" t="s">
        <v>181</v>
      </c>
      <c r="L7" s="96" t="s">
        <v>182</v>
      </c>
      <c r="M7" s="96">
        <v>1</v>
      </c>
      <c r="N7" s="106">
        <v>120000</v>
      </c>
      <c r="O7" s="106">
        <v>120000</v>
      </c>
      <c r="Q7" s="123" t="s">
        <v>183</v>
      </c>
      <c r="R7" s="124"/>
      <c r="S7" s="124"/>
      <c r="T7" s="125"/>
      <c r="U7" s="107">
        <f>SUM(U3:U6)</f>
        <v>16900000</v>
      </c>
    </row>
    <row r="8" spans="2:21" x14ac:dyDescent="0.35">
      <c r="B8" s="126" t="s">
        <v>215</v>
      </c>
      <c r="C8" s="92">
        <v>4248000</v>
      </c>
      <c r="D8" s="92">
        <v>23341</v>
      </c>
      <c r="F8" s="96" t="s">
        <v>184</v>
      </c>
      <c r="G8" s="96" t="s">
        <v>152</v>
      </c>
      <c r="H8" s="96" t="s">
        <v>174</v>
      </c>
      <c r="I8" s="106">
        <v>2299900</v>
      </c>
      <c r="K8" s="96" t="s">
        <v>187</v>
      </c>
      <c r="L8" s="104" t="s">
        <v>188</v>
      </c>
      <c r="M8" s="104">
        <v>6</v>
      </c>
      <c r="N8" s="106">
        <v>15000</v>
      </c>
      <c r="O8" s="106">
        <v>1080000</v>
      </c>
    </row>
    <row r="9" spans="2:21" x14ac:dyDescent="0.35">
      <c r="B9" s="90" t="s">
        <v>183</v>
      </c>
      <c r="C9" s="110">
        <f>SUM(C3:C8)</f>
        <v>28792000</v>
      </c>
      <c r="D9" s="110">
        <f>SUM(D3:D8)</f>
        <v>158198</v>
      </c>
      <c r="F9" s="96" t="s">
        <v>189</v>
      </c>
      <c r="G9" s="96" t="s">
        <v>185</v>
      </c>
      <c r="H9" s="96" t="s">
        <v>186</v>
      </c>
      <c r="I9" s="106">
        <v>499930</v>
      </c>
      <c r="K9" s="123" t="s">
        <v>190</v>
      </c>
      <c r="L9" s="123"/>
      <c r="M9" s="123"/>
      <c r="N9" s="105"/>
      <c r="O9" s="107">
        <f>SUM(O3:O8)</f>
        <v>1540000</v>
      </c>
    </row>
    <row r="10" spans="2:21" x14ac:dyDescent="0.35">
      <c r="F10" s="96" t="s">
        <v>191</v>
      </c>
      <c r="G10" s="96" t="s">
        <v>185</v>
      </c>
      <c r="H10" s="96" t="s">
        <v>186</v>
      </c>
      <c r="I10" s="106">
        <v>499930</v>
      </c>
    </row>
    <row r="11" spans="2:21" x14ac:dyDescent="0.35">
      <c r="F11" s="96" t="s">
        <v>192</v>
      </c>
      <c r="G11" s="96" t="s">
        <v>185</v>
      </c>
      <c r="H11" s="96" t="s">
        <v>186</v>
      </c>
      <c r="I11" s="106">
        <v>499930</v>
      </c>
    </row>
    <row r="12" spans="2:21" x14ac:dyDescent="0.35">
      <c r="F12" s="96" t="s">
        <v>195</v>
      </c>
      <c r="G12" s="96" t="s">
        <v>193</v>
      </c>
      <c r="H12" s="96" t="s">
        <v>194</v>
      </c>
      <c r="I12" s="106">
        <v>480000</v>
      </c>
    </row>
    <row r="13" spans="2:21" x14ac:dyDescent="0.35">
      <c r="F13" s="96" t="s">
        <v>197</v>
      </c>
      <c r="G13" s="96" t="s">
        <v>193</v>
      </c>
      <c r="H13" s="96" t="s">
        <v>196</v>
      </c>
      <c r="I13" s="106">
        <v>360000</v>
      </c>
    </row>
    <row r="14" spans="2:21" x14ac:dyDescent="0.35">
      <c r="F14" s="96" t="s">
        <v>199</v>
      </c>
      <c r="G14" s="96" t="s">
        <v>193</v>
      </c>
      <c r="H14" s="96" t="s">
        <v>198</v>
      </c>
      <c r="I14" s="106">
        <v>1800000</v>
      </c>
    </row>
    <row r="15" spans="2:21" x14ac:dyDescent="0.35">
      <c r="F15" s="96" t="s">
        <v>201</v>
      </c>
      <c r="G15" s="96" t="s">
        <v>193</v>
      </c>
      <c r="H15" s="96" t="s">
        <v>200</v>
      </c>
      <c r="I15" s="106">
        <v>1800000</v>
      </c>
    </row>
    <row r="16" spans="2:21" x14ac:dyDescent="0.35">
      <c r="F16" s="96" t="s">
        <v>216</v>
      </c>
      <c r="G16" s="96" t="s">
        <v>193</v>
      </c>
      <c r="H16" s="96" t="s">
        <v>202</v>
      </c>
      <c r="I16" s="106">
        <v>1440000</v>
      </c>
    </row>
    <row r="17" spans="6:9" x14ac:dyDescent="0.35">
      <c r="F17" s="123" t="s">
        <v>183</v>
      </c>
      <c r="G17" s="123"/>
      <c r="H17" s="123"/>
      <c r="I17" s="107">
        <f>SUM(I3:I16)</f>
        <v>24698390</v>
      </c>
    </row>
    <row r="35" spans="8:8" x14ac:dyDescent="0.35">
      <c r="H35" s="108"/>
    </row>
    <row r="36" spans="8:8" x14ac:dyDescent="0.35">
      <c r="H36" s="108"/>
    </row>
    <row r="37" spans="8:8" x14ac:dyDescent="0.35">
      <c r="H37" s="108"/>
    </row>
  </sheetData>
  <mergeCells count="7">
    <mergeCell ref="B1:D1"/>
    <mergeCell ref="Q1:U1"/>
    <mergeCell ref="F17:H17"/>
    <mergeCell ref="K9:M9"/>
    <mergeCell ref="Q7:T7"/>
    <mergeCell ref="F1:I1"/>
    <mergeCell ref="K1:O1"/>
  </mergeCells>
  <phoneticPr fontId="2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FF1A8-FE55-D44A-A80C-197932E0CA85}">
  <sheetPr>
    <tabColor theme="0" tint="-0.249977111117893"/>
  </sheetPr>
  <dimension ref="A1:AF61"/>
  <sheetViews>
    <sheetView showGridLines="0" workbookViewId="0">
      <selection activeCell="F3" sqref="F3"/>
    </sheetView>
  </sheetViews>
  <sheetFormatPr baseColWidth="10" defaultColWidth="11" defaultRowHeight="15.5" x14ac:dyDescent="0.35"/>
  <cols>
    <col min="1" max="1" width="3.33203125" style="10" customWidth="1"/>
    <col min="2" max="2" width="10.83203125" style="10"/>
    <col min="3" max="3" width="3.33203125" style="10" customWidth="1"/>
    <col min="5" max="5" width="3.33203125" style="10" customWidth="1"/>
    <col min="6" max="6" width="12.83203125" customWidth="1"/>
    <col min="7" max="7" width="3.33203125" style="10" customWidth="1"/>
  </cols>
  <sheetData>
    <row r="1" spans="1:32" s="10" customFormat="1" ht="42" customHeight="1" thickBot="1" x14ac:dyDescent="0.4">
      <c r="B1" s="34" t="s">
        <v>203</v>
      </c>
      <c r="C1" s="8"/>
      <c r="D1" s="8"/>
      <c r="E1" s="8"/>
      <c r="F1" s="8"/>
      <c r="G1" s="8"/>
      <c r="H1" s="8"/>
      <c r="I1" s="8"/>
      <c r="J1" s="8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</row>
    <row r="2" spans="1:32" ht="25" customHeight="1" thickTop="1" x14ac:dyDescent="0.35">
      <c r="A2" s="9"/>
      <c r="B2" s="33" t="s">
        <v>204</v>
      </c>
      <c r="C2" s="9"/>
      <c r="D2" s="33" t="s">
        <v>205</v>
      </c>
      <c r="E2" s="9"/>
      <c r="F2" s="33" t="s">
        <v>8</v>
      </c>
      <c r="G2" s="9"/>
    </row>
    <row r="3" spans="1:32" ht="35.15" customHeight="1" x14ac:dyDescent="0.35">
      <c r="A3" s="9"/>
      <c r="B3" s="32" t="s">
        <v>206</v>
      </c>
      <c r="C3" s="9"/>
      <c r="D3" s="31" t="s">
        <v>207</v>
      </c>
      <c r="E3" s="9"/>
      <c r="F3" s="72" t="s">
        <v>56</v>
      </c>
      <c r="G3" s="9"/>
    </row>
    <row r="4" spans="1:32" ht="35.15" customHeight="1" x14ac:dyDescent="0.35">
      <c r="A4" s="9"/>
      <c r="B4" s="30" t="s">
        <v>208</v>
      </c>
      <c r="C4" s="9"/>
      <c r="D4" s="29" t="s">
        <v>209</v>
      </c>
      <c r="E4" s="9"/>
      <c r="F4" s="73" t="s">
        <v>51</v>
      </c>
      <c r="G4" s="9"/>
    </row>
    <row r="5" spans="1:32" ht="35.15" customHeight="1" x14ac:dyDescent="0.35">
      <c r="A5" s="9"/>
      <c r="C5" s="9"/>
      <c r="D5" s="28" t="s">
        <v>210</v>
      </c>
      <c r="E5" s="9"/>
      <c r="F5" s="74" t="s">
        <v>35</v>
      </c>
      <c r="G5" s="9"/>
    </row>
    <row r="6" spans="1:32" ht="35.15" customHeight="1" x14ac:dyDescent="0.35">
      <c r="A6" s="9"/>
      <c r="C6" s="9"/>
      <c r="D6" s="24"/>
      <c r="E6" s="9"/>
      <c r="F6" s="27" t="s">
        <v>211</v>
      </c>
      <c r="G6" s="9"/>
    </row>
    <row r="7" spans="1:32" ht="35.15" customHeight="1" x14ac:dyDescent="0.35">
      <c r="A7" s="9"/>
      <c r="C7" s="9"/>
      <c r="D7" s="24"/>
      <c r="E7" s="9"/>
      <c r="F7" s="26" t="s">
        <v>212</v>
      </c>
      <c r="G7" s="9"/>
    </row>
    <row r="8" spans="1:32" ht="35.15" customHeight="1" x14ac:dyDescent="0.35">
      <c r="A8" s="9"/>
      <c r="C8" s="9"/>
      <c r="E8" s="9"/>
      <c r="F8" s="18" t="s">
        <v>213</v>
      </c>
      <c r="G8" s="9"/>
    </row>
    <row r="9" spans="1:32" ht="35.15" customHeight="1" x14ac:dyDescent="0.35">
      <c r="A9" s="9"/>
      <c r="B9" s="9"/>
      <c r="C9" s="9"/>
      <c r="E9" s="9"/>
      <c r="F9" s="25" t="s">
        <v>214</v>
      </c>
      <c r="G9" s="9"/>
    </row>
    <row r="10" spans="1:32" ht="35.15" customHeight="1" x14ac:dyDescent="0.35">
      <c r="A10" s="9"/>
      <c r="B10" s="9"/>
      <c r="C10" s="9"/>
      <c r="D10" s="24"/>
      <c r="E10" s="9"/>
      <c r="F10" s="17"/>
      <c r="G10" s="9"/>
    </row>
    <row r="11" spans="1:32" ht="35.15" customHeight="1" x14ac:dyDescent="0.35">
      <c r="A11" s="9"/>
      <c r="B11" s="9"/>
      <c r="C11" s="9"/>
      <c r="D11" s="24"/>
      <c r="E11" s="9"/>
      <c r="F11" s="17"/>
      <c r="G11" s="9"/>
    </row>
    <row r="12" spans="1:32" x14ac:dyDescent="0.35">
      <c r="A12" s="9"/>
      <c r="B12" s="9"/>
      <c r="C12" s="9"/>
      <c r="D12" s="24"/>
      <c r="E12" s="9"/>
      <c r="F12" s="24"/>
      <c r="G12" s="9"/>
    </row>
    <row r="13" spans="1:32" x14ac:dyDescent="0.35">
      <c r="A13" s="9"/>
      <c r="B13" s="9"/>
      <c r="C13" s="9"/>
      <c r="D13" s="24"/>
      <c r="E13" s="9"/>
      <c r="F13" s="24"/>
      <c r="G13" s="9"/>
    </row>
    <row r="14" spans="1:32" x14ac:dyDescent="0.35">
      <c r="A14" s="9"/>
      <c r="B14" s="9"/>
      <c r="C14" s="9"/>
      <c r="D14" s="24"/>
      <c r="E14" s="9"/>
      <c r="F14" s="24"/>
      <c r="G14" s="9"/>
    </row>
    <row r="15" spans="1:32" x14ac:dyDescent="0.35">
      <c r="A15" s="9"/>
      <c r="B15" s="9"/>
      <c r="C15" s="9"/>
      <c r="D15" s="24"/>
      <c r="E15" s="9"/>
      <c r="F15" s="24"/>
      <c r="G15" s="9"/>
    </row>
    <row r="16" spans="1:32" x14ac:dyDescent="0.35">
      <c r="A16" s="9"/>
      <c r="B16" s="9"/>
      <c r="C16" s="9"/>
      <c r="D16" s="24"/>
      <c r="E16" s="9"/>
      <c r="F16" s="24"/>
      <c r="G16" s="9"/>
    </row>
    <row r="17" spans="1:7" x14ac:dyDescent="0.35">
      <c r="A17" s="9"/>
      <c r="B17" s="9"/>
      <c r="C17" s="9"/>
      <c r="D17" s="24"/>
      <c r="E17" s="9"/>
      <c r="G17" s="9"/>
    </row>
    <row r="18" spans="1:7" x14ac:dyDescent="0.35">
      <c r="A18" s="9"/>
      <c r="B18" s="9"/>
      <c r="C18" s="9"/>
      <c r="D18" s="24"/>
      <c r="E18" s="9"/>
      <c r="G18" s="9"/>
    </row>
    <row r="19" spans="1:7" x14ac:dyDescent="0.35">
      <c r="A19" s="9"/>
      <c r="B19" s="9"/>
      <c r="C19" s="9"/>
      <c r="D19" s="24"/>
      <c r="E19" s="9"/>
      <c r="G19" s="9"/>
    </row>
    <row r="20" spans="1:7" x14ac:dyDescent="0.35">
      <c r="A20" s="9"/>
      <c r="B20" s="9"/>
      <c r="C20" s="9"/>
      <c r="D20" s="24"/>
      <c r="E20" s="9"/>
      <c r="G20" s="9"/>
    </row>
    <row r="21" spans="1:7" x14ac:dyDescent="0.35">
      <c r="A21" s="9"/>
      <c r="B21" s="9"/>
      <c r="C21" s="9"/>
      <c r="D21" s="24"/>
      <c r="E21" s="9"/>
      <c r="G21" s="9"/>
    </row>
    <row r="22" spans="1:7" x14ac:dyDescent="0.35">
      <c r="A22" s="9"/>
      <c r="B22" s="9"/>
      <c r="C22" s="9"/>
      <c r="D22" s="24"/>
      <c r="E22" s="9"/>
      <c r="G22" s="9"/>
    </row>
    <row r="23" spans="1:7" x14ac:dyDescent="0.35">
      <c r="A23" s="9"/>
      <c r="B23" s="9"/>
      <c r="C23" s="9"/>
      <c r="D23" s="24"/>
      <c r="E23" s="9"/>
      <c r="G23" s="9"/>
    </row>
    <row r="24" spans="1:7" x14ac:dyDescent="0.35">
      <c r="A24" s="9"/>
      <c r="B24" s="9"/>
      <c r="C24" s="9"/>
      <c r="D24" s="24"/>
      <c r="E24" s="9"/>
      <c r="G24" s="9"/>
    </row>
    <row r="25" spans="1:7" x14ac:dyDescent="0.35">
      <c r="A25" s="9"/>
      <c r="B25" s="9"/>
      <c r="C25" s="9"/>
      <c r="D25" s="24"/>
      <c r="E25" s="9"/>
      <c r="G25" s="9"/>
    </row>
    <row r="26" spans="1:7" x14ac:dyDescent="0.35">
      <c r="A26" s="9"/>
      <c r="B26" s="9"/>
      <c r="C26" s="9"/>
      <c r="D26" s="24"/>
      <c r="E26" s="9"/>
      <c r="G26" s="9"/>
    </row>
    <row r="27" spans="1:7" x14ac:dyDescent="0.35">
      <c r="A27" s="9"/>
      <c r="B27" s="9"/>
      <c r="C27" s="9"/>
      <c r="D27" s="24"/>
      <c r="E27" s="9"/>
      <c r="G27" s="9"/>
    </row>
    <row r="28" spans="1:7" x14ac:dyDescent="0.35">
      <c r="A28" s="9"/>
      <c r="B28" s="9"/>
      <c r="C28" s="9"/>
      <c r="D28" s="24"/>
      <c r="E28" s="9"/>
      <c r="G28" s="9"/>
    </row>
    <row r="29" spans="1:7" x14ac:dyDescent="0.35">
      <c r="A29" s="9"/>
      <c r="B29" s="9"/>
      <c r="C29" s="9"/>
      <c r="D29" s="24"/>
      <c r="E29" s="9"/>
      <c r="G29" s="9"/>
    </row>
    <row r="30" spans="1:7" x14ac:dyDescent="0.35">
      <c r="A30" s="9"/>
      <c r="B30" s="9"/>
      <c r="C30" s="9"/>
      <c r="D30" s="24"/>
      <c r="E30" s="9"/>
      <c r="G30" s="9"/>
    </row>
    <row r="31" spans="1:7" x14ac:dyDescent="0.35">
      <c r="A31" s="9"/>
      <c r="B31" s="9"/>
      <c r="C31" s="9"/>
      <c r="D31" s="24"/>
      <c r="E31" s="9"/>
      <c r="G31" s="9"/>
    </row>
    <row r="32" spans="1:7" x14ac:dyDescent="0.35">
      <c r="A32"/>
      <c r="B32"/>
      <c r="C32"/>
      <c r="D32" s="24"/>
      <c r="E32"/>
      <c r="G32"/>
    </row>
    <row r="33" spans="1:7" x14ac:dyDescent="0.35">
      <c r="A33" s="9"/>
      <c r="B33" s="9"/>
      <c r="C33" s="9"/>
      <c r="E33" s="9"/>
      <c r="G33" s="9"/>
    </row>
    <row r="34" spans="1:7" x14ac:dyDescent="0.35">
      <c r="A34" s="9"/>
      <c r="B34" s="9"/>
      <c r="C34" s="9"/>
      <c r="E34" s="9"/>
      <c r="G34" s="9"/>
    </row>
    <row r="35" spans="1:7" x14ac:dyDescent="0.35">
      <c r="A35" s="9"/>
      <c r="B35" s="9"/>
      <c r="C35" s="9"/>
      <c r="E35" s="9"/>
      <c r="G35" s="9"/>
    </row>
    <row r="36" spans="1:7" x14ac:dyDescent="0.35">
      <c r="A36" s="9"/>
      <c r="B36" s="9"/>
      <c r="C36" s="9"/>
      <c r="E36" s="9"/>
      <c r="G36" s="9"/>
    </row>
    <row r="37" spans="1:7" x14ac:dyDescent="0.35">
      <c r="A37" s="9"/>
      <c r="B37" s="9"/>
      <c r="C37" s="9"/>
      <c r="E37" s="9"/>
      <c r="G37" s="9"/>
    </row>
    <row r="38" spans="1:7" x14ac:dyDescent="0.35">
      <c r="A38" s="9"/>
      <c r="B38" s="9"/>
      <c r="C38" s="9"/>
      <c r="E38" s="9"/>
      <c r="G38" s="9"/>
    </row>
    <row r="39" spans="1:7" x14ac:dyDescent="0.35">
      <c r="A39" s="9"/>
      <c r="B39" s="9"/>
      <c r="C39" s="9"/>
      <c r="E39" s="9"/>
      <c r="G39" s="9"/>
    </row>
    <row r="40" spans="1:7" x14ac:dyDescent="0.35">
      <c r="A40" s="9"/>
      <c r="B40" s="9"/>
      <c r="C40" s="9"/>
      <c r="E40" s="9"/>
      <c r="G40" s="9"/>
    </row>
    <row r="41" spans="1:7" x14ac:dyDescent="0.35">
      <c r="A41" s="9"/>
      <c r="B41" s="9"/>
      <c r="C41" s="9"/>
      <c r="E41" s="9"/>
      <c r="G41" s="9"/>
    </row>
    <row r="42" spans="1:7" x14ac:dyDescent="0.35">
      <c r="A42" s="9"/>
      <c r="B42" s="9"/>
      <c r="C42" s="9"/>
      <c r="E42" s="9"/>
      <c r="G42" s="9"/>
    </row>
    <row r="43" spans="1:7" x14ac:dyDescent="0.35">
      <c r="A43" s="9"/>
      <c r="B43" s="9"/>
      <c r="C43" s="9"/>
      <c r="E43" s="9"/>
      <c r="G43" s="9"/>
    </row>
    <row r="44" spans="1:7" x14ac:dyDescent="0.35">
      <c r="A44" s="9"/>
      <c r="B44" s="9"/>
      <c r="C44" s="9"/>
      <c r="E44" s="9"/>
      <c r="G44" s="9"/>
    </row>
    <row r="45" spans="1:7" x14ac:dyDescent="0.35">
      <c r="A45" s="9"/>
      <c r="B45" s="9"/>
      <c r="C45" s="9"/>
      <c r="E45" s="9"/>
      <c r="G45" s="9"/>
    </row>
    <row r="46" spans="1:7" x14ac:dyDescent="0.35">
      <c r="A46" s="9"/>
      <c r="B46" s="9"/>
      <c r="C46" s="9"/>
      <c r="E46" s="9"/>
      <c r="G46" s="9"/>
    </row>
    <row r="47" spans="1:7" x14ac:dyDescent="0.35">
      <c r="A47" s="9"/>
      <c r="B47" s="9"/>
      <c r="C47" s="9"/>
      <c r="E47" s="9"/>
      <c r="G47" s="9"/>
    </row>
    <row r="48" spans="1:7" x14ac:dyDescent="0.35">
      <c r="A48" s="9"/>
      <c r="B48" s="9"/>
      <c r="C48" s="9"/>
      <c r="E48" s="9"/>
      <c r="G48" s="9"/>
    </row>
    <row r="49" spans="1:7" x14ac:dyDescent="0.35">
      <c r="A49" s="9"/>
      <c r="B49" s="9"/>
      <c r="C49" s="9"/>
      <c r="E49" s="9"/>
      <c r="G49" s="9"/>
    </row>
    <row r="50" spans="1:7" x14ac:dyDescent="0.35">
      <c r="A50" s="9"/>
      <c r="B50" s="9"/>
      <c r="C50" s="9"/>
      <c r="E50" s="9"/>
      <c r="G50" s="9"/>
    </row>
    <row r="51" spans="1:7" x14ac:dyDescent="0.35">
      <c r="A51" s="9"/>
      <c r="B51" s="9"/>
      <c r="C51" s="9"/>
      <c r="E51" s="9"/>
      <c r="G51" s="9"/>
    </row>
    <row r="52" spans="1:7" x14ac:dyDescent="0.35">
      <c r="A52" s="9"/>
      <c r="B52" s="9"/>
      <c r="C52" s="9"/>
      <c r="E52" s="9"/>
      <c r="G52" s="9"/>
    </row>
    <row r="53" spans="1:7" x14ac:dyDescent="0.35">
      <c r="A53" s="9"/>
      <c r="B53" s="9"/>
      <c r="C53" s="9"/>
      <c r="E53" s="9"/>
      <c r="G53" s="9"/>
    </row>
    <row r="54" spans="1:7" x14ac:dyDescent="0.35">
      <c r="A54" s="9"/>
      <c r="B54" s="9"/>
      <c r="C54" s="9"/>
      <c r="E54" s="9"/>
      <c r="G54" s="9"/>
    </row>
    <row r="55" spans="1:7" x14ac:dyDescent="0.35">
      <c r="A55" s="9"/>
      <c r="B55" s="9"/>
      <c r="C55" s="9"/>
      <c r="E55" s="9"/>
      <c r="G55" s="9"/>
    </row>
    <row r="56" spans="1:7" x14ac:dyDescent="0.35">
      <c r="A56" s="9"/>
      <c r="B56" s="9"/>
      <c r="C56" s="9"/>
      <c r="E56" s="9"/>
      <c r="G56" s="9"/>
    </row>
    <row r="57" spans="1:7" x14ac:dyDescent="0.35">
      <c r="A57" s="9"/>
      <c r="B57" s="9"/>
      <c r="C57" s="9"/>
      <c r="E57" s="9"/>
      <c r="G57" s="9"/>
    </row>
    <row r="58" spans="1:7" x14ac:dyDescent="0.35">
      <c r="A58" s="9"/>
      <c r="B58" s="9"/>
      <c r="C58" s="9"/>
      <c r="E58" s="9"/>
      <c r="G58" s="9"/>
    </row>
    <row r="59" spans="1:7" x14ac:dyDescent="0.35">
      <c r="A59" s="9"/>
      <c r="B59" s="9"/>
      <c r="C59" s="9"/>
      <c r="E59" s="9"/>
      <c r="G59" s="9"/>
    </row>
    <row r="60" spans="1:7" x14ac:dyDescent="0.35">
      <c r="A60" s="9"/>
      <c r="B60" s="9"/>
      <c r="C60" s="9"/>
      <c r="E60" s="9"/>
      <c r="G60" s="9"/>
    </row>
    <row r="61" spans="1:7" x14ac:dyDescent="0.35">
      <c r="A61" s="9"/>
      <c r="B61" s="9"/>
      <c r="C61" s="9"/>
      <c r="E61" s="9"/>
      <c r="G61" s="9"/>
    </row>
  </sheetData>
  <conditionalFormatting sqref="D3:D5">
    <cfRule type="containsText" dxfId="9" priority="9" operator="containsText" text="Low">
      <formula>NOT(ISERROR(SEARCH("Low",D3)))</formula>
    </cfRule>
    <cfRule type="containsText" dxfId="8" priority="10" operator="containsText" text="Medium">
      <formula>NOT(ISERROR(SEARCH("Medium",D3)))</formula>
    </cfRule>
    <cfRule type="containsText" dxfId="7" priority="11" operator="containsText" text="High">
      <formula>NOT(ISERROR(SEARCH("High",D3)))</formula>
    </cfRule>
  </conditionalFormatting>
  <conditionalFormatting sqref="F3:F11">
    <cfRule type="containsText" dxfId="6" priority="8" operator="containsText" text="Approved">
      <formula>NOT(ISERROR(SEARCH("Approved",F3)))</formula>
    </cfRule>
    <cfRule type="containsText" dxfId="5" priority="12" operator="containsText" text="Needs Review">
      <formula>NOT(ISERROR(SEARCH("Needs Review",F3)))</formula>
    </cfRule>
    <cfRule type="containsText" dxfId="4" priority="13" operator="containsText" text="Not Started">
      <formula>NOT(ISERROR(SEARCH("Not Started",F3)))</formula>
    </cfRule>
    <cfRule type="containsText" dxfId="3" priority="14" operator="containsText" text="On Hold">
      <formula>NOT(ISERROR(SEARCH("On Hold",F3)))</formula>
    </cfRule>
    <cfRule type="containsText" dxfId="2" priority="15" operator="containsText" text="Overdue">
      <formula>NOT(ISERROR(SEARCH("Overdue",F3)))</formula>
    </cfRule>
    <cfRule type="containsText" dxfId="1" priority="16" operator="containsText" text="Complete">
      <formula>NOT(ISERROR(SEARCH("Complete",F3)))</formula>
    </cfRule>
    <cfRule type="containsText" dxfId="0" priority="17" operator="containsText" text="In Progress">
      <formula>NOT(ISERROR(SEARCH("In Progress",F3)))</formula>
    </cfRule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Presupuesto del proyecto</vt:lpstr>
      <vt:lpstr>Presupuesto General</vt:lpstr>
      <vt:lpstr>listas desplegables</vt:lpstr>
      <vt:lpstr>'Presupuesto del proyecto'!Área_de_impresión</vt:lpstr>
      <vt:lpstr>Status</vt:lpstr>
      <vt:lpstr>YesNo</vt:lpstr>
    </vt:vector>
  </TitlesOfParts>
  <Manager/>
  <Company>Smartsheet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Bess</dc:creator>
  <cp:keywords/>
  <dc:description/>
  <cp:lastModifiedBy>CRISTIAN FELIPE GOMEZ RODRIGUEZ</cp:lastModifiedBy>
  <cp:revision/>
  <dcterms:created xsi:type="dcterms:W3CDTF">2015-08-28T20:34:30Z</dcterms:created>
  <dcterms:modified xsi:type="dcterms:W3CDTF">2026-08-27T00:17:29Z</dcterms:modified>
  <cp:category/>
  <cp:contentStatus/>
</cp:coreProperties>
</file>
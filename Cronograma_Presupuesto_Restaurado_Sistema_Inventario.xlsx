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Presupuesto por Actividad" sheetId="2" state="visible" r:id="rId4"/>
    <sheet name="Resumen Presupuesto Gener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<sst xmlns="http://schemas.openxmlformats.org/spreadsheetml/2006/main" count="536" uniqueCount="234">
  <si>
    <t xml:space="preserve">CRONOGRAMA RESTAURADO Y ACTUALIZADO – SISTEMA DE INVENTARIO INTELIGENTE PARA EMPRENDEDORES  |  15 semanas de ejecución (13 ago – 19 nov 2026)</t>
  </si>
  <si>
    <t xml:space="preserve">ID</t>
  </si>
  <si>
    <t xml:space="preserve">Fase</t>
  </si>
  <si>
    <t xml:space="preserve">Actividad</t>
  </si>
  <si>
    <t xml:space="preserve">Predecesora</t>
  </si>
  <si>
    <t xml:space="preserve">Recursos</t>
  </si>
  <si>
    <t xml:space="preserve">Horas</t>
  </si>
  <si>
    <t xml:space="preserve">Estado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</si>
  <si>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</si>
  <si>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</si>
  <si>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</si>
  <si>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</si>
  <si>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</si>
  <si>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</si>
  <si>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</si>
  <si>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</si>
  <si>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</si>
  <si>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</si>
  <si>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</si>
  <si>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</si>
  <si>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</si>
  <si>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</si>
  <si>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</si>
  <si>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Presupuesto (COP)</t>
  </si>
  <si>
    <t xml:space="preserve">13 ago-19 ago</t>
  </si>
  <si>
    <t xml:space="preserve">20 ago-25 ago</t>
  </si>
  <si>
    <t xml:space="preserve">26 ago-1 sep</t>
  </si>
  <si>
    <t xml:space="preserve">2 sep-7 sep</t>
  </si>
  <si>
    <t xml:space="preserve">8 sep-14 sep</t>
  </si>
  <si>
    <t xml:space="preserve">15 sep-21 sep</t>
  </si>
  <si>
    <t xml:space="preserve">22 sep-27 sep</t>
  </si>
  <si>
    <t xml:space="preserve">28 sep-4 oct</t>
  </si>
  <si>
    <t xml:space="preserve">5 oct-10 oct</t>
  </si>
  <si>
    <t xml:space="preserve">11 oct-17 oct</t>
  </si>
  <si>
    <t xml:space="preserve">18 oct-24 oct</t>
  </si>
  <si>
    <t xml:space="preserve">25 oct-30 oct</t>
  </si>
  <si>
    <t xml:space="preserve">31 oct-6 nov</t>
  </si>
  <si>
    <t xml:space="preserve">7 nov-12 nov</t>
  </si>
  <si>
    <t xml:space="preserve">13 nov-19 nov</t>
  </si>
  <si>
    <t xml:space="preserve">FASE 1 · Inicio  (semana 1)</t>
  </si>
  <si>
    <t xml:space="preserve">ID001</t>
  </si>
  <si>
    <t xml:space="preserve">Inicio  (semana 1)</t>
  </si>
  <si>
    <t xml:space="preserve">Acta de Proyecto</t>
  </si>
  <si>
    <t xml:space="preserve"> N/A</t>
  </si>
  <si>
    <t xml:space="preserve">Recurso Humano (Critian Gomez y Juan David Martinez), Recurso Tecnologico (Portatiles)</t>
  </si>
  <si>
    <t xml:space="preserve">Completo</t>
  </si>
  <si>
    <t xml:space="preserve">FASE 2 · Planificación  (semana 1)</t>
  </si>
  <si>
    <t xml:space="preserve">ID002</t>
  </si>
  <si>
    <t xml:space="preserve">Planificacion  (semana 1)</t>
  </si>
  <si>
    <t xml:space="preserve">Definir cronograma</t>
  </si>
  <si>
    <t xml:space="preserve">Recurso Humano( Luisa Fernanda Rojas Guzman), Recurso Tecnologico (Portatiles)</t>
  </si>
  <si>
    <t xml:space="preserve">ID003</t>
  </si>
  <si>
    <t xml:space="preserve">Crear Trello</t>
  </si>
  <si>
    <t xml:space="preserve">Recurso Humano (Critian Gomez y Juan David Martinez), Recurso Tecnologico (Portatiles), Software Trello</t>
  </si>
  <si>
    <t xml:space="preserve">ID004</t>
  </si>
  <si>
    <t xml:space="preserve">Crear Diagrama de Gantt</t>
  </si>
  <si>
    <t xml:space="preserve">Recurso Humano (Yudy Mayerli Gutierrez), Recurso Tecnológico (Portátiles), Software (Excel)</t>
  </si>
  <si>
    <t xml:space="preserve">ID005</t>
  </si>
  <si>
    <t xml:space="preserve">Planificar recursos</t>
  </si>
  <si>
    <t xml:space="preserve">Recurso Humano (Juan David Martinez y Santiago Falla Perdomo), Recurso Tecnológico (Portátiles), Software de ofimática (Word)</t>
  </si>
  <si>
    <t xml:space="preserve">ID006</t>
  </si>
  <si>
    <t xml:space="preserve">Planificar adquisiciones</t>
  </si>
  <si>
    <t xml:space="preserve">Recurso Humano (Juan David Martinez y Santiago Falla Perdomo), Recurso Tecnológico (Portátiles), Acceso a Internet (para cotizaciones), Software de ofimática</t>
  </si>
  <si>
    <t xml:space="preserve">ID007</t>
  </si>
  <si>
    <t xml:space="preserve">Estimar costos y elaborar presupuesto</t>
  </si>
  <si>
    <t xml:space="preserve">Recurso Humano (Juan David Martinez y Santiago Falla Perdomo), Recurso Tecnológico (Portátiles), Software de hojas de cálculo (Excel)</t>
  </si>
  <si>
    <t xml:space="preserve">ID008</t>
  </si>
  <si>
    <t xml:space="preserve">Generar archivo unificado de Documentación</t>
  </si>
  <si>
    <t xml:space="preserve">Recurso Humano (Luisa Fernanda Rojas Guzman), Recurso Tecnológico (Portátiles), Software de procesamiento de texto (Word)</t>
  </si>
  <si>
    <t xml:space="preserve">FASE 3 · Ejecución  (semanas 1 – 14)</t>
  </si>
  <si>
    <t xml:space="preserve">ID009</t>
  </si>
  <si>
    <t xml:space="preserve">3.1 Analisis</t>
  </si>
  <si>
    <t xml:space="preserve">Levantamiento de Requerimientos funcionales</t>
  </si>
  <si>
    <t xml:space="preserve">Recurso Humano (Fabian Camilo Acosta Hernandez), Recurso Tecnológico (Portátiles), Software de ofimática (Word)</t>
  </si>
  <si>
    <t xml:space="preserve">ID010</t>
  </si>
  <si>
    <t xml:space="preserve">Levantamiento de Requerimientos No funcionales</t>
  </si>
  <si>
    <t xml:space="preserve">ID011</t>
  </si>
  <si>
    <t xml:space="preserve">Definir criterios de aceptación</t>
  </si>
  <si>
    <t xml:space="preserve">Recurso Humano (Santiago Falla Perdomo), Recurso Tecnológico (Portátiles), Software de ofimática</t>
  </si>
  <si>
    <t xml:space="preserve">ID012</t>
  </si>
  <si>
    <t xml:space="preserve">Historias de Usuario</t>
  </si>
  <si>
    <t xml:space="preserve">Recurso Humano (Fabian Camilo Acosta Hernandez), Recurso Tecnológico (Portátiles), Software de gestión ágil (Word)</t>
  </si>
  <si>
    <t xml:space="preserve">ID013</t>
  </si>
  <si>
    <t xml:space="preserve">Casos de uso</t>
  </si>
  <si>
    <t xml:space="preserve">ID014</t>
  </si>
  <si>
    <t xml:space="preserve">Diagramas Casos de uso</t>
  </si>
  <si>
    <t xml:space="preserve">Recurso Humano (Luisa Fernanda Rojas Guzman), Recurso Tecnológico (Portátiles), Software (PlantText)</t>
  </si>
  <si>
    <t xml:space="preserve">ID015</t>
  </si>
  <si>
    <t xml:space="preserve">Diagrama de Requerimientos Funcionales</t>
  </si>
  <si>
    <t xml:space="preserve">ID016</t>
  </si>
  <si>
    <t xml:space="preserve">Diagrama entidad-Relación</t>
  </si>
  <si>
    <t xml:space="preserve">ID017</t>
  </si>
  <si>
    <t xml:space="preserve">Diagrama de Arquitectura de Software</t>
  </si>
  <si>
    <t xml:space="preserve">ID018</t>
  </si>
  <si>
    <t xml:space="preserve">Generar EDT</t>
  </si>
  <si>
    <t xml:space="preserve">Recurso Humano (Cristian Felipe Gomez y Santiago Falla Perdomo), Recurso Tecnológico (Portátiles), Software (WBS Schedule Pro, Draw.io o Excel)</t>
  </si>
  <si>
    <t xml:space="preserve">ID019</t>
  </si>
  <si>
    <t xml:space="preserve">Generar Repositorio GitHub</t>
  </si>
  <si>
    <t xml:space="preserve">Recurso Humano (Cristian Felipe Gomez), Recurso Tecnológico (Portátiles), Plataforma GitHub, Git</t>
  </si>
  <si>
    <t xml:space="preserve">ID020</t>
  </si>
  <si>
    <t xml:space="preserve">Análisis funcional y técnico (Alcance)</t>
  </si>
  <si>
    <t xml:space="preserve">Recurso Humano (Juan David Martinez), Recurso Tecnológico (Portátiles), Software de ofimática</t>
  </si>
  <si>
    <t xml:space="preserve">En Espera</t>
  </si>
  <si>
    <t xml:space="preserve">ID021</t>
  </si>
  <si>
    <t xml:space="preserve">3.2 Diseno</t>
  </si>
  <si>
    <t xml:space="preserve">Diseño de arquitectura</t>
  </si>
  <si>
    <t xml:space="preserve">Recurso Humano (______________________), Recurso Tecnológico (Portátiles), Software de arquitectura </t>
  </si>
  <si>
    <t xml:space="preserve">No Iniciado</t>
  </si>
  <si>
    <t xml:space="preserve">ID022</t>
  </si>
  <si>
    <t xml:space="preserve">Diseño de base de datos</t>
  </si>
  <si>
    <t xml:space="preserve">Recurso Humano (______________________), Recurso Tecnológico (Portátiles), Software de BD </t>
  </si>
  <si>
    <t xml:space="preserve">ID023</t>
  </si>
  <si>
    <t xml:space="preserve">Diseño de interfaz y experiencia de usuario</t>
  </si>
  <si>
    <t xml:space="preserve">Recurso Humano (______________________), Recurso Tecnológico (Portátiles), Software de diseño UI/UX </t>
  </si>
  <si>
    <t xml:space="preserve">ID024</t>
  </si>
  <si>
    <t xml:space="preserve">Diseño detallado de la solución</t>
  </si>
  <si>
    <t xml:space="preserve">Recurso Humano (______________________), Recurso Tecnológico (Portátiles), Software de ofimática y modelado</t>
  </si>
  <si>
    <t xml:space="preserve">ID025</t>
  </si>
  <si>
    <t xml:space="preserve">Configuración del entorno de desarrollo</t>
  </si>
  <si>
    <t xml:space="preserve">Recurso Humano (______________________), Recurso Tecnológico (Portátiles), Entorno de desarrollo </t>
  </si>
  <si>
    <t xml:space="preserve">ID026</t>
  </si>
  <si>
    <t xml:space="preserve">3.3 Desarrollo</t>
  </si>
  <si>
    <t xml:space="preserve">Desarrollo / programación</t>
  </si>
  <si>
    <t xml:space="preserve">Recurso Humano (______________________), Recurso Tecnológico (Portátiles), Entorno de desarrollo integrado (IDE)</t>
  </si>
  <si>
    <t xml:space="preserve">ID027</t>
  </si>
  <si>
    <t xml:space="preserve">Integración de componentes</t>
  </si>
  <si>
    <t xml:space="preserve">Recurso Humano (______________________), Recurso Tecnológico (Portátiles), Entorno de desarrollo (IDE), Herramientas de prueba de API (ej. Postman)</t>
  </si>
  <si>
    <t xml:space="preserve">ID028</t>
  </si>
  <si>
    <t xml:space="preserve">Gestión de código fuente y versiones</t>
  </si>
  <si>
    <t xml:space="preserve">Recurso Humano (______________________), Recurso Tecnológico (Portátiles), Plataforma GitHub, Git</t>
  </si>
  <si>
    <t xml:space="preserve">ID029</t>
  </si>
  <si>
    <t xml:space="preserve">Desarrollo del módulo de IA</t>
  </si>
  <si>
    <t xml:space="preserve">Recurso Humano (______________________), Recurso Tecnológico (Portátiles), Entorno de desarrollo (Python), Bibliotecas de Machine Learning / IA</t>
  </si>
  <si>
    <t xml:space="preserve">ID030</t>
  </si>
  <si>
    <t xml:space="preserve">Integración del módulo de IA</t>
  </si>
  <si>
    <t xml:space="preserve">Recurso Humano (______________________), Recurso Tecnológico (Portátiles), Entorno de desarrollo integrado (IDE), Python, Flask</t>
  </si>
  <si>
    <t xml:space="preserve">ID031</t>
  </si>
  <si>
    <t xml:space="preserve">3.4 Pruebas</t>
  </si>
  <si>
    <t xml:space="preserve">Pruebas unitarias</t>
  </si>
  <si>
    <t xml:space="preserve">Recurso Humano (______________________), Recurso Tecnológico (Portátiles), Framework de automatización de pruebas (ej. PyTest)</t>
  </si>
  <si>
    <t xml:space="preserve">ID032</t>
  </si>
  <si>
    <t xml:space="preserve">Pruebas de integración</t>
  </si>
  <si>
    <t xml:space="preserve">Recurso Humano (______________________), Recurso Tecnológico (Portátiles), Herramientas de prueba de API y red</t>
  </si>
  <si>
    <t xml:space="preserve">ID033</t>
  </si>
  <si>
    <t xml:space="preserve">Pruebas funcionales</t>
  </si>
  <si>
    <t xml:space="preserve">Recurso Humano (______________________), Recurso Tecnológico (Portátiles, Dispositivos móviles), Software de ofimática para registro de pruebas</t>
  </si>
  <si>
    <t xml:space="preserve">ID034</t>
  </si>
  <si>
    <t xml:space="preserve">Pruebas de sistema</t>
  </si>
  <si>
    <t xml:space="preserve">Recurso Humano (______________________), Recurso Tecnológico (Portátiles, Dispositivos móviles), Entorno de pruebas (Staging)</t>
  </si>
  <si>
    <t xml:space="preserve">ID035</t>
  </si>
  <si>
    <t xml:space="preserve">Corrección de defectos</t>
  </si>
  <si>
    <t xml:space="preserve">Recurso Humano (______________________), Recurso Tecnológico (Portátiles), Entorno de desarrollo (IDE), Sistema de seguimiento de bugs (GitHub Issues o Trello)</t>
  </si>
  <si>
    <t xml:space="preserve">ID036</t>
  </si>
  <si>
    <t xml:space="preserve">Pruebas de precisión del modelo de IA</t>
  </si>
  <si>
    <t xml:space="preserve">Recurso Humano (______________________), Recurso Tecnológico (Portátiles), Entorno de desarrollo (Python), Herramientas de análisis de datos</t>
  </si>
  <si>
    <t xml:space="preserve">ID037</t>
  </si>
  <si>
    <t xml:space="preserve">Pruebas de usabilidad</t>
  </si>
  <si>
    <t xml:space="preserve">Recurso Humano (______________________), Recurso Tecnológico (Portátiles, Dispositivos móviles), Software de ofimática para registro de feedback</t>
  </si>
  <si>
    <t xml:space="preserve">FASE 4 · Implementación y Cierre  (semanas 13 – 15)</t>
  </si>
  <si>
    <t xml:space="preserve">ID038</t>
  </si>
  <si>
    <t xml:space="preserve">Implementacion y Cierre</t>
  </si>
  <si>
    <t xml:space="preserve">Implementación de la plataforma</t>
  </si>
  <si>
    <t xml:space="preserve">Recurso Humano (______________________), Recurso Tecnológico (Portátiles), Servidor o plataforma en la nube (ej. AWS, Heroku o PythonAnywhere)</t>
  </si>
  <si>
    <t xml:space="preserve">ID039</t>
  </si>
  <si>
    <t xml:space="preserve">Capacitación de usuarios</t>
  </si>
  <si>
    <t xml:space="preserve">Recurso Humano (______________________), Recurso Tecnológico (Portátiles), Software para presentaciones (PowerPoint o Canva)</t>
  </si>
  <si>
    <t xml:space="preserve">ID040</t>
  </si>
  <si>
    <t xml:space="preserve">Seguimiento y monitoreo</t>
  </si>
  <si>
    <t xml:space="preserve">Recurso Humano (______________________), Recurso Tecnológico (Portátiles), Herramientas de monitoreo de incidencias (Trello o GitHub Issues)</t>
  </si>
  <si>
    <t xml:space="preserve">ID041</t>
  </si>
  <si>
    <t xml:space="preserve">Cierre del proyecto</t>
  </si>
  <si>
    <t xml:space="preserve">Recurso Humano (______________________), Recurso Tecnológico (Portátiles), Software de ofimática (Word o Docs), Repositorio documental</t>
  </si>
  <si>
    <t xml:space="preserve">PRESUPUESTO TOTAL DEL PROYECTO (mano de obra, materiales y equipos por actividad)</t>
  </si>
  <si>
    <t xml:space="preserve">■ FASE 1 – Inicio</t>
  </si>
  <si>
    <t xml:space="preserve">■ FASE 2 – Planificación</t>
  </si>
  <si>
    <t xml:space="preserve">■ FASE 3 – Ejecución</t>
  </si>
  <si>
    <t xml:space="preserve">■ FASE 4 – Cierre</t>
  </si>
  <si>
    <t xml:space="preserve">Nota: el presupuesto en cursiva/morado corresponde a actividades aún no iniciadas y se estimó multiplicando las horas de la actividad por la tarifa promedio ponderada del equipo (COP 51.791/hora), calculada a partir de las 20 actividades ya ejecutadas en Presupuesto_de_Proyecto.xlsx. El presupuesto en texto normal corresponde a costos reales ya registrados.</t>
  </si>
  <si>
    <t xml:space="preserve">Integrantes:</t>
  </si>
  <si>
    <t xml:space="preserve">Yudy Mayerli Gutierrez Espitia</t>
  </si>
  <si>
    <t xml:space="preserve">Luisa Fernanda Rojas Guzman</t>
  </si>
  <si>
    <t xml:space="preserve">Fabian Acosta</t>
  </si>
  <si>
    <t xml:space="preserve">Santiago Falla</t>
  </si>
  <si>
    <t xml:space="preserve">Juan David Martinez</t>
  </si>
  <si>
    <t xml:space="preserve">Cristian Felipe Gomez</t>
  </si>
  <si>
    <t xml:space="preserve">PRESUPUESTO POR ACTIVIDAD – SISTEMA DE INVENTARIO INTELIGENTE PARA EMPRENDEDORES</t>
  </si>
  <si>
    <t xml:space="preserve">Fecha inicio</t>
  </si>
  <si>
    <t xml:space="preserve">Fecha fin</t>
  </si>
  <si>
    <t xml:space="preserve">Origen del dato</t>
  </si>
  <si>
    <t xml:space="preserve">Real</t>
  </si>
  <si>
    <t xml:space="preserve">Estimado</t>
  </si>
  <si>
    <t xml:space="preserve">TOTAL PRESUPUESTO POR ACTIVIDADES (mano de obra + materiales + equipos)</t>
  </si>
  <si>
    <t xml:space="preserve">Real = costo ya registrado en Presupuesto_de_Proyecto.xlsx (actividades completadas / en espera).</t>
  </si>
  <si>
    <t xml:space="preserve">Estimado = costo proyectado (horas x tarifa promedio del equipo COP 51.791/hora) para actividades aún no iniciadas, ya que aún no tienen recurso humano asignado en la lista de actividades.</t>
  </si>
  <si>
    <t xml:space="preserve">RESUMEN GENERAL DE PRESUPUESTO (Talento humano, equipos, materiales e infraestructura)</t>
  </si>
  <si>
    <t xml:space="preserve">Talento Humano</t>
  </si>
  <si>
    <t xml:space="preserve">Equipos y Software</t>
  </si>
  <si>
    <t xml:space="preserve">Integrante</t>
  </si>
  <si>
    <t xml:space="preserve">Sueldo</t>
  </si>
  <si>
    <t xml:space="preserve">Valor hora</t>
  </si>
  <si>
    <t xml:space="preserve">Nombre</t>
  </si>
  <si>
    <t xml:space="preserve">Descripcion</t>
  </si>
  <si>
    <t xml:space="preserve">Valor</t>
  </si>
  <si>
    <t xml:space="preserve">Cristian Felipe Gómez : </t>
  </si>
  <si>
    <t xml:space="preserve">Computador</t>
  </si>
  <si>
    <t xml:space="preserve">Computador Portátil Gamer HP Victus 15.6" Fa2014la (Intel Core i5)</t>
  </si>
  <si>
    <t xml:space="preserve">Juan David Martínez Ortiz ): </t>
  </si>
  <si>
    <t xml:space="preserve">Lenovo LOQ 15IRX9 (Intel Core i5-13450HX, 16 GB RAM DDR5, 512 GB SSD, Gráficos RTX 3050)</t>
  </si>
  <si>
    <t xml:space="preserve">Yudy Mayerli Gutierrez:</t>
  </si>
  <si>
    <t xml:space="preserve">Lenovo Ideapad Slim 3 15IRH10 (Intel Core i5, 16 GB RAM, 512 GB SSD)</t>
  </si>
  <si>
    <t xml:space="preserve">Fabian Acosta  </t>
  </si>
  <si>
    <t xml:space="preserve">Asus Vivobook 16 (Intel Core i5-13420H, 16 GB RAM, 512 GB SSD)</t>
  </si>
  <si>
    <t xml:space="preserve">Luisa Rojas Guzmán  </t>
  </si>
  <si>
    <t xml:space="preserve">Santiago Falla Perdomo</t>
  </si>
  <si>
    <t xml:space="preserve">TOTAL</t>
  </si>
  <si>
    <t xml:space="preserve">Pantalla</t>
  </si>
  <si>
    <t xml:space="preserve">Monitor SAMSUNG 27" Pulgadas F320 FHD Plano Negro</t>
  </si>
  <si>
    <t xml:space="preserve">Materiales, Insumos y Documentacion</t>
  </si>
  <si>
    <t xml:space="preserve">Infraestructura</t>
  </si>
  <si>
    <t xml:space="preserve">Cantidad</t>
  </si>
  <si>
    <t xml:space="preserve">Resma de papel</t>
  </si>
  <si>
    <t xml:space="preserve">Servidor Físico NAS </t>
  </si>
  <si>
    <t xml:space="preserve">1 Unidad</t>
  </si>
  <si>
    <t xml:space="preserve">Caja de esferos</t>
  </si>
  <si>
    <t xml:space="preserve">Alquiler de Coworking</t>
  </si>
  <si>
    <t xml:space="preserve">(3 meses, 6 puestos)</t>
  </si>
  <si>
    <t xml:space="preserve">USB</t>
  </si>
  <si>
    <t xml:space="preserve">Trámite de registro de software ante la SIC</t>
  </si>
  <si>
    <t xml:space="preserve">Carpeta</t>
  </si>
  <si>
    <t xml:space="preserve">Sistema UPS 3kVA </t>
  </si>
  <si>
    <t xml:space="preserve">Cafetera</t>
  </si>
  <si>
    <t xml:space="preserve">Refrijerio (1 semanal)</t>
  </si>
  <si>
    <t xml:space="preserve">INVERSION TOTAL EN ACTIVOS Y RECURSOS (Talento humano/mes + Equipos + Materiales + Infraestructura)</t>
  </si>
  <si>
    <t xml:space="preserve">Nota: esta hoja resume la inversion base del proyecto (sueldos mensuales de referencia, equipos comprados/alquilados, materiales e infraestructura), tomada de la hoja 'Presupuesto General' del archivo Presupuesto_de_Proyecto.xlsx. El costo variable por hora dedicada a cada actividad se detalla en la hoja 'Presupuesto por Actividad'.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</si>
</sst>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dd/mm/yyyy"/>
    <numFmt numFmtId="167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"/>
      <color rgb="FF495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7B1FA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864AB"/>
      <name val="Arial"/>
      <family val="0"/>
      <charset val="1"/>
    </font>
    <font>
      <b val="true"/>
      <sz val="9"/>
      <color rgb="FF087F5B"/>
      <name val="Arial"/>
      <family val="0"/>
      <charset val="1"/>
    </font>
    <font>
      <b val="true"/>
      <sz val="9"/>
      <color rgb="FF862E12"/>
      <name val="Arial"/>
      <family val="0"/>
      <charset val="1"/>
    </font>
    <font>
      <b val="true"/>
      <sz val="9"/>
      <color rgb="FF7B4F00"/>
      <name val="Arial"/>
      <family val="0"/>
      <charset val="1"/>
    </font>
    <font>
      <i val="true"/>
      <sz val="8"/>
      <color rgb="FF6C757D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49505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12529"/>
        <bgColor rgb="FF343A40"/>
      </patternFill>
    </fill>
    <fill>
      <patternFill patternType="solid">
        <fgColor rgb="FF343A40"/>
        <bgColor rgb="FF212529"/>
      </patternFill>
    </fill>
    <fill>
      <patternFill patternType="solid">
        <fgColor rgb="FFE9ECEF"/>
        <bgColor rgb="FFDEE2E6"/>
      </patternFill>
    </fill>
    <fill>
      <patternFill patternType="solid">
        <fgColor rgb="FF1864AB"/>
        <bgColor rgb="FF008080"/>
      </patternFill>
    </fill>
    <fill>
      <patternFill patternType="solid">
        <fgColor rgb="FFFFFFFF"/>
        <bgColor rgb="FFF8F9FA"/>
      </patternFill>
    </fill>
    <fill>
      <patternFill patternType="solid">
        <fgColor rgb="FF087F5B"/>
        <bgColor rgb="FF008080"/>
      </patternFill>
    </fill>
    <fill>
      <patternFill patternType="solid">
        <fgColor rgb="FFF8F9FA"/>
        <bgColor rgb="FFFFFFFF"/>
      </patternFill>
    </fill>
    <fill>
      <patternFill patternType="solid">
        <fgColor rgb="FF862E12"/>
        <bgColor rgb="FF7B4F00"/>
      </patternFill>
    </fill>
    <fill>
      <patternFill patternType="solid">
        <fgColor rgb="FF7B4F00"/>
        <bgColor rgb="FF862E12"/>
      </patternFill>
    </fill>
    <fill>
      <patternFill patternType="solid">
        <fgColor rgb="FFDEE2E6"/>
        <bgColor rgb="FFE9ECEF"/>
      </patternFill>
    </fill>
    <fill>
      <patternFill patternType="solid">
        <fgColor rgb="FF495057"/>
        <bgColor rgb="FF343A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1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4F00"/>
      <rgbColor rgb="FF7B1FA2"/>
      <rgbColor rgb="FF087F5B"/>
      <rgbColor rgb="FFCCCCCC"/>
      <rgbColor rgb="FF6C757D"/>
      <rgbColor rgb="FF9999FF"/>
      <rgbColor rgb="FF993366"/>
      <rgbColor rgb="FFF8F9FA"/>
      <rgbColor rgb="FFE9ECEF"/>
      <rgbColor rgb="FF660066"/>
      <rgbColor rgb="FFFF8080"/>
      <rgbColor rgb="FF1864AB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95057"/>
      <rgbColor rgb="FF969696"/>
      <rgbColor rgb="FF003366"/>
      <rgbColor rgb="FF339966"/>
      <rgbColor rgb="FF003300"/>
      <rgbColor rgb="FF212529"/>
      <rgbColor rgb="FF862E12"/>
      <rgbColor rgb="FF993366"/>
      <rgbColor rgb="FF3333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H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22" min="8" style="0" width="5.51"/>
    <col collapsed="false" customWidth="true" hidden="false" outlineLevel="0" max="23" min="23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  <c r="U3" s="4" t="s">
        <v>37</v>
      </c>
      <c r="V3" s="4" t="s">
        <v>38</v>
      </c>
      <c r="W3" s="3"/>
    </row>
    <row r="4" customFormat="false" ht="18" hidden="false" customHeight="true" outlineLevel="0" collapsed="false">
      <c r="A4" s="5" t="s">
        <v>39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customFormat="false" ht="19.4" hidden="false" customHeight="false" outlineLevel="0" collapsed="false">
      <c r="A5" s="6" t="s">
        <v>40</v>
      </c>
      <c r="B5" s="7" t="s">
        <v>41</v>
      </c>
      <c r="C5" s="8" t="s">
        <v>42</v>
      </c>
      <c r="D5" s="7" t="s">
        <v>43</v>
      </c>
      <c r="E5" s="8" t="s">
        <v>44</v>
      </c>
      <c r="F5" s="6" t="n">
        <v>1</v>
      </c>
      <c r="G5" s="6" t="s">
        <v>45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 t="n">
        <v>170000</v>
      </c>
    </row>
    <row r="6" customFormat="false" ht="18" hidden="false" customHeight="true" outlineLevel="0" collapsed="false">
      <c r="A6" s="12" t="s">
        <v>46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customFormat="false" ht="19.4" hidden="false" customHeight="false" outlineLevel="0" collapsed="false">
      <c r="A7" s="6" t="s">
        <v>47</v>
      </c>
      <c r="B7" s="7" t="s">
        <v>48</v>
      </c>
      <c r="C7" s="8" t="s">
        <v>49</v>
      </c>
      <c r="D7" s="7" t="s">
        <v>40</v>
      </c>
      <c r="E7" s="8" t="s">
        <v>50</v>
      </c>
      <c r="F7" s="6" t="n">
        <v>1.5</v>
      </c>
      <c r="G7" s="6" t="s">
        <v>45</v>
      </c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 t="n">
        <v>60000</v>
      </c>
    </row>
    <row r="8" customFormat="false" ht="28.35" hidden="false" customHeight="false" outlineLevel="0" collapsed="false">
      <c r="A8" s="14" t="s">
        <v>51</v>
      </c>
      <c r="B8" s="15" t="s">
        <v>48</v>
      </c>
      <c r="C8" s="16" t="s">
        <v>52</v>
      </c>
      <c r="D8" s="15" t="s">
        <v>47</v>
      </c>
      <c r="E8" s="16" t="s">
        <v>53</v>
      </c>
      <c r="F8" s="14" t="n">
        <v>1</v>
      </c>
      <c r="G8" s="14" t="s">
        <v>45</v>
      </c>
      <c r="H8" s="13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 t="n">
        <v>60000</v>
      </c>
    </row>
    <row r="9" customFormat="false" ht="28.35" hidden="false" customHeight="false" outlineLevel="0" collapsed="false">
      <c r="A9" s="6" t="s">
        <v>54</v>
      </c>
      <c r="B9" s="7" t="s">
        <v>48</v>
      </c>
      <c r="C9" s="8" t="s">
        <v>55</v>
      </c>
      <c r="D9" s="7" t="s">
        <v>51</v>
      </c>
      <c r="E9" s="8" t="s">
        <v>56</v>
      </c>
      <c r="F9" s="6" t="n">
        <v>2</v>
      </c>
      <c r="G9" s="6" t="s">
        <v>45</v>
      </c>
      <c r="H9" s="13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 t="n">
        <v>100000</v>
      </c>
    </row>
    <row r="10" customFormat="false" ht="28.35" hidden="false" customHeight="false" outlineLevel="0" collapsed="false">
      <c r="A10" s="14" t="s">
        <v>57</v>
      </c>
      <c r="B10" s="15" t="s">
        <v>48</v>
      </c>
      <c r="C10" s="16" t="s">
        <v>58</v>
      </c>
      <c r="D10" s="15" t="s">
        <v>54</v>
      </c>
      <c r="E10" s="16" t="s">
        <v>59</v>
      </c>
      <c r="F10" s="14" t="n">
        <v>1</v>
      </c>
      <c r="G10" s="14" t="s">
        <v>45</v>
      </c>
      <c r="H10" s="13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 t="n">
        <v>100000</v>
      </c>
    </row>
    <row r="11" customFormat="false" ht="37.3" hidden="false" customHeight="false" outlineLevel="0" collapsed="false">
      <c r="A11" s="6" t="s">
        <v>60</v>
      </c>
      <c r="B11" s="7" t="s">
        <v>48</v>
      </c>
      <c r="C11" s="8" t="s">
        <v>61</v>
      </c>
      <c r="D11" s="7" t="s">
        <v>57</v>
      </c>
      <c r="E11" s="8" t="s">
        <v>62</v>
      </c>
      <c r="F11" s="6" t="n">
        <v>1</v>
      </c>
      <c r="G11" s="6" t="s">
        <v>45</v>
      </c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 t="n">
        <v>90000</v>
      </c>
    </row>
    <row r="12" customFormat="false" ht="28.35" hidden="false" customHeight="false" outlineLevel="0" collapsed="false">
      <c r="A12" s="14" t="s">
        <v>63</v>
      </c>
      <c r="B12" s="15" t="s">
        <v>48</v>
      </c>
      <c r="C12" s="16" t="s">
        <v>64</v>
      </c>
      <c r="D12" s="15" t="s">
        <v>60</v>
      </c>
      <c r="E12" s="16" t="s">
        <v>65</v>
      </c>
      <c r="F12" s="14" t="n">
        <v>2</v>
      </c>
      <c r="G12" s="14" t="s">
        <v>45</v>
      </c>
      <c r="H12" s="13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 t="n">
        <v>160000</v>
      </c>
    </row>
    <row r="13" customFormat="false" ht="28.35" hidden="false" customHeight="false" outlineLevel="0" collapsed="false">
      <c r="A13" s="6" t="s">
        <v>66</v>
      </c>
      <c r="B13" s="7" t="s">
        <v>48</v>
      </c>
      <c r="C13" s="8" t="s">
        <v>67</v>
      </c>
      <c r="D13" s="7" t="s">
        <v>63</v>
      </c>
      <c r="E13" s="8" t="s">
        <v>68</v>
      </c>
      <c r="F13" s="6" t="n">
        <v>7</v>
      </c>
      <c r="G13" s="6" t="s">
        <v>45</v>
      </c>
      <c r="H13" s="1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 t="n">
        <v>160000</v>
      </c>
    </row>
    <row r="14" customFormat="false" ht="18" hidden="false" customHeight="true" outlineLevel="0" collapsed="false">
      <c r="A14" s="19" t="s">
        <v>69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customFormat="false" ht="28.35" hidden="false" customHeight="false" outlineLevel="0" collapsed="false">
      <c r="A15" s="6" t="s">
        <v>70</v>
      </c>
      <c r="B15" s="7" t="s">
        <v>71</v>
      </c>
      <c r="C15" s="8" t="s">
        <v>72</v>
      </c>
      <c r="D15" s="7" t="s">
        <v>66</v>
      </c>
      <c r="E15" s="8" t="s">
        <v>73</v>
      </c>
      <c r="F15" s="6" t="n">
        <v>2</v>
      </c>
      <c r="G15" s="6" t="s">
        <v>45</v>
      </c>
      <c r="H15" s="2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 t="n">
        <v>70000</v>
      </c>
    </row>
    <row r="16" customFormat="false" ht="28.35" hidden="false" customHeight="false" outlineLevel="0" collapsed="false">
      <c r="A16" s="14" t="s">
        <v>74</v>
      </c>
      <c r="B16" s="15" t="s">
        <v>71</v>
      </c>
      <c r="C16" s="16" t="s">
        <v>75</v>
      </c>
      <c r="D16" s="15" t="s">
        <v>70</v>
      </c>
      <c r="E16" s="16" t="s">
        <v>73</v>
      </c>
      <c r="F16" s="14" t="n">
        <v>2</v>
      </c>
      <c r="G16" s="14" t="s">
        <v>45</v>
      </c>
      <c r="H16" s="2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 t="n">
        <v>70000</v>
      </c>
    </row>
    <row r="17" customFormat="false" ht="28.35" hidden="false" customHeight="false" outlineLevel="0" collapsed="false">
      <c r="A17" s="6" t="s">
        <v>76</v>
      </c>
      <c r="B17" s="7" t="s">
        <v>71</v>
      </c>
      <c r="C17" s="8" t="s">
        <v>77</v>
      </c>
      <c r="D17" s="7" t="s">
        <v>74</v>
      </c>
      <c r="E17" s="8" t="s">
        <v>78</v>
      </c>
      <c r="F17" s="6" t="n">
        <v>2</v>
      </c>
      <c r="G17" s="6" t="s">
        <v>45</v>
      </c>
      <c r="H17" s="10"/>
      <c r="I17" s="2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 t="n">
        <v>80000</v>
      </c>
    </row>
    <row r="18" customFormat="false" ht="28.35" hidden="false" customHeight="false" outlineLevel="0" collapsed="false">
      <c r="A18" s="14" t="s">
        <v>79</v>
      </c>
      <c r="B18" s="15" t="s">
        <v>71</v>
      </c>
      <c r="C18" s="16" t="s">
        <v>80</v>
      </c>
      <c r="D18" s="15" t="s">
        <v>76</v>
      </c>
      <c r="E18" s="16" t="s">
        <v>81</v>
      </c>
      <c r="F18" s="14" t="n">
        <v>2</v>
      </c>
      <c r="G18" s="14" t="s">
        <v>45</v>
      </c>
      <c r="H18" s="17"/>
      <c r="I18" s="20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 t="n">
        <v>80000</v>
      </c>
    </row>
    <row r="19" customFormat="false" ht="28.35" hidden="false" customHeight="false" outlineLevel="0" collapsed="false">
      <c r="A19" s="6" t="s">
        <v>82</v>
      </c>
      <c r="B19" s="7" t="s">
        <v>71</v>
      </c>
      <c r="C19" s="8" t="s">
        <v>83</v>
      </c>
      <c r="D19" s="7" t="s">
        <v>79</v>
      </c>
      <c r="E19" s="8" t="s">
        <v>73</v>
      </c>
      <c r="F19" s="6" t="n">
        <v>1</v>
      </c>
      <c r="G19" s="6" t="s">
        <v>45</v>
      </c>
      <c r="H19" s="10"/>
      <c r="I19" s="2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 t="n">
        <v>60000</v>
      </c>
    </row>
    <row r="20" customFormat="false" ht="28.35" hidden="false" customHeight="false" outlineLevel="0" collapsed="false">
      <c r="A20" s="14" t="s">
        <v>84</v>
      </c>
      <c r="B20" s="15" t="s">
        <v>71</v>
      </c>
      <c r="C20" s="16" t="s">
        <v>85</v>
      </c>
      <c r="D20" s="15" t="s">
        <v>82</v>
      </c>
      <c r="E20" s="16" t="s">
        <v>86</v>
      </c>
      <c r="F20" s="14" t="n">
        <v>1</v>
      </c>
      <c r="G20" s="14" t="s">
        <v>45</v>
      </c>
      <c r="H20" s="17"/>
      <c r="I20" s="2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 t="n">
        <v>45000</v>
      </c>
    </row>
    <row r="21" customFormat="false" ht="28.35" hidden="false" customHeight="false" outlineLevel="0" collapsed="false">
      <c r="A21" s="6" t="s">
        <v>87</v>
      </c>
      <c r="B21" s="7" t="s">
        <v>71</v>
      </c>
      <c r="C21" s="8" t="s">
        <v>88</v>
      </c>
      <c r="D21" s="7" t="s">
        <v>84</v>
      </c>
      <c r="E21" s="8" t="s">
        <v>86</v>
      </c>
      <c r="F21" s="6" t="n">
        <v>1</v>
      </c>
      <c r="G21" s="6" t="s">
        <v>45</v>
      </c>
      <c r="H21" s="10"/>
      <c r="I21" s="2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 t="n">
        <v>40000</v>
      </c>
    </row>
    <row r="22" customFormat="false" ht="28.35" hidden="false" customHeight="false" outlineLevel="0" collapsed="false">
      <c r="A22" s="14" t="s">
        <v>89</v>
      </c>
      <c r="B22" s="15" t="s">
        <v>71</v>
      </c>
      <c r="C22" s="16" t="s">
        <v>90</v>
      </c>
      <c r="D22" s="15" t="s">
        <v>87</v>
      </c>
      <c r="E22" s="16" t="s">
        <v>86</v>
      </c>
      <c r="F22" s="14" t="n">
        <v>1</v>
      </c>
      <c r="G22" s="14" t="s">
        <v>45</v>
      </c>
      <c r="H22" s="17"/>
      <c r="I22" s="20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 t="n">
        <v>40000</v>
      </c>
    </row>
    <row r="23" customFormat="false" ht="28.35" hidden="false" customHeight="false" outlineLevel="0" collapsed="false">
      <c r="A23" s="6" t="s">
        <v>91</v>
      </c>
      <c r="B23" s="7" t="s">
        <v>71</v>
      </c>
      <c r="C23" s="8" t="s">
        <v>92</v>
      </c>
      <c r="D23" s="7" t="s">
        <v>89</v>
      </c>
      <c r="E23" s="8" t="s">
        <v>86</v>
      </c>
      <c r="F23" s="6" t="n">
        <v>1</v>
      </c>
      <c r="G23" s="6" t="s">
        <v>45</v>
      </c>
      <c r="H23" s="10"/>
      <c r="I23" s="2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 t="n">
        <v>40000</v>
      </c>
    </row>
    <row r="24" customFormat="false" ht="37.3" hidden="false" customHeight="false" outlineLevel="0" collapsed="false">
      <c r="A24" s="14" t="s">
        <v>93</v>
      </c>
      <c r="B24" s="15" t="s">
        <v>71</v>
      </c>
      <c r="C24" s="16" t="s">
        <v>94</v>
      </c>
      <c r="D24" s="15" t="s">
        <v>91</v>
      </c>
      <c r="E24" s="16" t="s">
        <v>95</v>
      </c>
      <c r="F24" s="14" t="n">
        <v>2</v>
      </c>
      <c r="G24" s="14" t="s">
        <v>45</v>
      </c>
      <c r="H24" s="17"/>
      <c r="I24" s="20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 t="n">
        <v>180000</v>
      </c>
    </row>
    <row r="25" customFormat="false" ht="28.35" hidden="false" customHeight="false" outlineLevel="0" collapsed="false">
      <c r="A25" s="6" t="s">
        <v>96</v>
      </c>
      <c r="B25" s="7" t="s">
        <v>71</v>
      </c>
      <c r="C25" s="8" t="s">
        <v>97</v>
      </c>
      <c r="D25" s="7" t="s">
        <v>93</v>
      </c>
      <c r="E25" s="8" t="s">
        <v>98</v>
      </c>
      <c r="F25" s="6" t="n">
        <v>0.5</v>
      </c>
      <c r="G25" s="6" t="s">
        <v>45</v>
      </c>
      <c r="H25" s="2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 t="n">
        <v>70000</v>
      </c>
    </row>
    <row r="26" customFormat="false" ht="28.35" hidden="false" customHeight="false" outlineLevel="0" collapsed="false">
      <c r="A26" s="14" t="s">
        <v>99</v>
      </c>
      <c r="B26" s="15" t="s">
        <v>71</v>
      </c>
      <c r="C26" s="16" t="s">
        <v>100</v>
      </c>
      <c r="D26" s="15" t="s">
        <v>96</v>
      </c>
      <c r="E26" s="16" t="s">
        <v>101</v>
      </c>
      <c r="F26" s="14" t="n">
        <v>0.5</v>
      </c>
      <c r="G26" s="14" t="s">
        <v>102</v>
      </c>
      <c r="H26" s="17"/>
      <c r="I26" s="20"/>
      <c r="J26" s="20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 t="n">
        <v>60000</v>
      </c>
    </row>
    <row r="27" customFormat="false" ht="28.35" hidden="false" customHeight="false" outlineLevel="0" collapsed="false">
      <c r="A27" s="6" t="s">
        <v>103</v>
      </c>
      <c r="B27" s="7" t="s">
        <v>104</v>
      </c>
      <c r="C27" s="8" t="s">
        <v>105</v>
      </c>
      <c r="D27" s="7" t="s">
        <v>99</v>
      </c>
      <c r="E27" s="8" t="s">
        <v>106</v>
      </c>
      <c r="F27" s="6" t="n">
        <v>4</v>
      </c>
      <c r="G27" s="6" t="s">
        <v>107</v>
      </c>
      <c r="H27" s="10"/>
      <c r="I27" s="10"/>
      <c r="J27" s="10"/>
      <c r="K27" s="20"/>
      <c r="L27" s="2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21" t="n">
        <v>207000</v>
      </c>
    </row>
    <row r="28" customFormat="false" ht="28.35" hidden="false" customHeight="false" outlineLevel="0" collapsed="false">
      <c r="A28" s="14" t="s">
        <v>108</v>
      </c>
      <c r="B28" s="15" t="s">
        <v>104</v>
      </c>
      <c r="C28" s="16" t="s">
        <v>109</v>
      </c>
      <c r="D28" s="15" t="s">
        <v>103</v>
      </c>
      <c r="E28" s="16" t="s">
        <v>110</v>
      </c>
      <c r="F28" s="14" t="n">
        <v>3</v>
      </c>
      <c r="G28" s="14" t="s">
        <v>107</v>
      </c>
      <c r="H28" s="17"/>
      <c r="I28" s="17"/>
      <c r="J28" s="17"/>
      <c r="K28" s="17"/>
      <c r="L28" s="2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2" t="n">
        <v>155000</v>
      </c>
    </row>
    <row r="29" customFormat="false" ht="28.35" hidden="false" customHeight="false" outlineLevel="0" collapsed="false">
      <c r="A29" s="6" t="s">
        <v>111</v>
      </c>
      <c r="B29" s="7" t="s">
        <v>104</v>
      </c>
      <c r="C29" s="8" t="s">
        <v>112</v>
      </c>
      <c r="D29" s="7" t="s">
        <v>108</v>
      </c>
      <c r="E29" s="8" t="s">
        <v>113</v>
      </c>
      <c r="F29" s="6" t="n">
        <v>5</v>
      </c>
      <c r="G29" s="6" t="s">
        <v>107</v>
      </c>
      <c r="H29" s="10"/>
      <c r="I29" s="10"/>
      <c r="J29" s="10"/>
      <c r="K29" s="10"/>
      <c r="L29" s="2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21" t="n">
        <v>259000</v>
      </c>
    </row>
    <row r="30" customFormat="false" ht="28.35" hidden="false" customHeight="false" outlineLevel="0" collapsed="false">
      <c r="A30" s="14" t="s">
        <v>114</v>
      </c>
      <c r="B30" s="15" t="s">
        <v>104</v>
      </c>
      <c r="C30" s="16" t="s">
        <v>115</v>
      </c>
      <c r="D30" s="15" t="s">
        <v>111</v>
      </c>
      <c r="E30" s="16" t="s">
        <v>116</v>
      </c>
      <c r="F30" s="14" t="n">
        <v>3</v>
      </c>
      <c r="G30" s="14" t="s">
        <v>107</v>
      </c>
      <c r="H30" s="17"/>
      <c r="I30" s="17"/>
      <c r="J30" s="17"/>
      <c r="K30" s="17"/>
      <c r="L30" s="20"/>
      <c r="M30" s="20"/>
      <c r="N30" s="17"/>
      <c r="O30" s="17"/>
      <c r="P30" s="17"/>
      <c r="Q30" s="17"/>
      <c r="R30" s="17"/>
      <c r="S30" s="17"/>
      <c r="T30" s="17"/>
      <c r="U30" s="17"/>
      <c r="V30" s="17"/>
      <c r="W30" s="22" t="n">
        <v>155000</v>
      </c>
    </row>
    <row r="31" customFormat="false" ht="28.35" hidden="false" customHeight="false" outlineLevel="0" collapsed="false">
      <c r="A31" s="6" t="s">
        <v>117</v>
      </c>
      <c r="B31" s="7" t="s">
        <v>104</v>
      </c>
      <c r="C31" s="8" t="s">
        <v>118</v>
      </c>
      <c r="D31" s="7" t="s">
        <v>114</v>
      </c>
      <c r="E31" s="8" t="s">
        <v>119</v>
      </c>
      <c r="F31" s="6" t="n">
        <v>2</v>
      </c>
      <c r="G31" s="6" t="s">
        <v>107</v>
      </c>
      <c r="H31" s="10"/>
      <c r="I31" s="10"/>
      <c r="J31" s="10"/>
      <c r="K31" s="10"/>
      <c r="L31" s="2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21" t="n">
        <v>104000</v>
      </c>
    </row>
    <row r="32" customFormat="false" ht="28.35" hidden="false" customHeight="false" outlineLevel="0" collapsed="false">
      <c r="A32" s="14" t="s">
        <v>120</v>
      </c>
      <c r="B32" s="15" t="s">
        <v>121</v>
      </c>
      <c r="C32" s="16" t="s">
        <v>122</v>
      </c>
      <c r="D32" s="15" t="s">
        <v>117</v>
      </c>
      <c r="E32" s="16" t="s">
        <v>123</v>
      </c>
      <c r="F32" s="14" t="n">
        <v>28</v>
      </c>
      <c r="G32" s="14" t="s">
        <v>107</v>
      </c>
      <c r="H32" s="17"/>
      <c r="I32" s="17"/>
      <c r="J32" s="17"/>
      <c r="K32" s="17"/>
      <c r="L32" s="17"/>
      <c r="M32" s="20"/>
      <c r="N32" s="20"/>
      <c r="O32" s="20"/>
      <c r="P32" s="20"/>
      <c r="Q32" s="17"/>
      <c r="R32" s="17"/>
      <c r="S32" s="17"/>
      <c r="T32" s="17"/>
      <c r="U32" s="17"/>
      <c r="V32" s="17"/>
      <c r="W32" s="22" t="n">
        <v>1450000</v>
      </c>
    </row>
    <row r="33" customFormat="false" ht="37.3" hidden="false" customHeight="false" outlineLevel="0" collapsed="false">
      <c r="A33" s="6" t="s">
        <v>124</v>
      </c>
      <c r="B33" s="7" t="s">
        <v>121</v>
      </c>
      <c r="C33" s="8" t="s">
        <v>125</v>
      </c>
      <c r="D33" s="7" t="s">
        <v>120</v>
      </c>
      <c r="E33" s="8" t="s">
        <v>126</v>
      </c>
      <c r="F33" s="6" t="n">
        <v>6</v>
      </c>
      <c r="G33" s="6" t="s">
        <v>107</v>
      </c>
      <c r="H33" s="10"/>
      <c r="I33" s="10"/>
      <c r="J33" s="10"/>
      <c r="K33" s="10"/>
      <c r="L33" s="10"/>
      <c r="M33" s="10"/>
      <c r="N33" s="10"/>
      <c r="O33" s="10"/>
      <c r="P33" s="20"/>
      <c r="Q33" s="20"/>
      <c r="R33" s="10"/>
      <c r="S33" s="10"/>
      <c r="T33" s="10"/>
      <c r="U33" s="10"/>
      <c r="V33" s="10"/>
      <c r="W33" s="21" t="n">
        <v>311000</v>
      </c>
    </row>
    <row r="34" customFormat="false" ht="28.35" hidden="false" customHeight="false" outlineLevel="0" collapsed="false">
      <c r="A34" s="14" t="s">
        <v>127</v>
      </c>
      <c r="B34" s="15" t="s">
        <v>121</v>
      </c>
      <c r="C34" s="16" t="s">
        <v>128</v>
      </c>
      <c r="D34" s="15" t="s">
        <v>124</v>
      </c>
      <c r="E34" s="16" t="s">
        <v>129</v>
      </c>
      <c r="F34" s="14" t="n">
        <v>6</v>
      </c>
      <c r="G34" s="14" t="s">
        <v>107</v>
      </c>
      <c r="H34" s="17"/>
      <c r="I34" s="17"/>
      <c r="J34" s="17"/>
      <c r="K34" s="17"/>
      <c r="L34" s="17"/>
      <c r="M34" s="20"/>
      <c r="N34" s="20"/>
      <c r="O34" s="20"/>
      <c r="P34" s="20"/>
      <c r="Q34" s="20"/>
      <c r="R34" s="17"/>
      <c r="S34" s="17"/>
      <c r="T34" s="17"/>
      <c r="U34" s="17"/>
      <c r="V34" s="17"/>
      <c r="W34" s="22" t="n">
        <v>311000</v>
      </c>
    </row>
    <row r="35" customFormat="false" ht="37.3" hidden="false" customHeight="false" outlineLevel="0" collapsed="false">
      <c r="A35" s="6" t="s">
        <v>130</v>
      </c>
      <c r="B35" s="7" t="s">
        <v>121</v>
      </c>
      <c r="C35" s="8" t="s">
        <v>131</v>
      </c>
      <c r="D35" s="7" t="s">
        <v>127</v>
      </c>
      <c r="E35" s="8" t="s">
        <v>132</v>
      </c>
      <c r="F35" s="6" t="n">
        <v>20</v>
      </c>
      <c r="G35" s="6" t="s">
        <v>107</v>
      </c>
      <c r="H35" s="10"/>
      <c r="I35" s="10"/>
      <c r="J35" s="10"/>
      <c r="K35" s="10"/>
      <c r="L35" s="10"/>
      <c r="M35" s="10"/>
      <c r="N35" s="20"/>
      <c r="O35" s="20"/>
      <c r="P35" s="20"/>
      <c r="Q35" s="20"/>
      <c r="R35" s="10"/>
      <c r="S35" s="10"/>
      <c r="T35" s="10"/>
      <c r="U35" s="10"/>
      <c r="V35" s="10"/>
      <c r="W35" s="21" t="n">
        <v>1036000</v>
      </c>
    </row>
    <row r="36" customFormat="false" ht="28.35" hidden="false" customHeight="false" outlineLevel="0" collapsed="false">
      <c r="A36" s="14" t="s">
        <v>133</v>
      </c>
      <c r="B36" s="15" t="s">
        <v>121</v>
      </c>
      <c r="C36" s="16" t="s">
        <v>134</v>
      </c>
      <c r="D36" s="15" t="s">
        <v>130</v>
      </c>
      <c r="E36" s="16" t="s">
        <v>135</v>
      </c>
      <c r="F36" s="14" t="n">
        <v>15</v>
      </c>
      <c r="G36" s="14" t="s">
        <v>107</v>
      </c>
      <c r="H36" s="17"/>
      <c r="I36" s="17"/>
      <c r="J36" s="17"/>
      <c r="K36" s="17"/>
      <c r="L36" s="17"/>
      <c r="M36" s="17"/>
      <c r="N36" s="17"/>
      <c r="O36" s="17"/>
      <c r="P36" s="17"/>
      <c r="Q36" s="20"/>
      <c r="R36" s="20"/>
      <c r="S36" s="17"/>
      <c r="T36" s="17"/>
      <c r="U36" s="17"/>
      <c r="V36" s="17"/>
      <c r="W36" s="22" t="n">
        <v>777000</v>
      </c>
    </row>
    <row r="37" customFormat="false" ht="28.35" hidden="false" customHeight="false" outlineLevel="0" collapsed="false">
      <c r="A37" s="6" t="s">
        <v>136</v>
      </c>
      <c r="B37" s="7" t="s">
        <v>137</v>
      </c>
      <c r="C37" s="8" t="s">
        <v>138</v>
      </c>
      <c r="D37" s="7" t="s">
        <v>130</v>
      </c>
      <c r="E37" s="8" t="s">
        <v>139</v>
      </c>
      <c r="F37" s="6" t="n">
        <v>2</v>
      </c>
      <c r="G37" s="6" t="s">
        <v>107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20"/>
      <c r="S37" s="10"/>
      <c r="T37" s="10"/>
      <c r="U37" s="10"/>
      <c r="V37" s="10"/>
      <c r="W37" s="21" t="n">
        <v>104000</v>
      </c>
    </row>
    <row r="38" customFormat="false" ht="28.35" hidden="false" customHeight="false" outlineLevel="0" collapsed="false">
      <c r="A38" s="14" t="s">
        <v>140</v>
      </c>
      <c r="B38" s="15" t="s">
        <v>137</v>
      </c>
      <c r="C38" s="16" t="s">
        <v>141</v>
      </c>
      <c r="D38" s="15" t="s">
        <v>133</v>
      </c>
      <c r="E38" s="16" t="s">
        <v>142</v>
      </c>
      <c r="F38" s="14" t="n">
        <v>2</v>
      </c>
      <c r="G38" s="14" t="s">
        <v>107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20"/>
      <c r="S38" s="17"/>
      <c r="T38" s="17"/>
      <c r="U38" s="17"/>
      <c r="V38" s="17"/>
      <c r="W38" s="22" t="n">
        <v>104000</v>
      </c>
    </row>
    <row r="39" customFormat="false" ht="37.3" hidden="false" customHeight="false" outlineLevel="0" collapsed="false">
      <c r="A39" s="6" t="s">
        <v>143</v>
      </c>
      <c r="B39" s="7" t="s">
        <v>137</v>
      </c>
      <c r="C39" s="8" t="s">
        <v>144</v>
      </c>
      <c r="D39" s="7" t="s">
        <v>136</v>
      </c>
      <c r="E39" s="8" t="s">
        <v>145</v>
      </c>
      <c r="F39" s="6" t="n">
        <v>2</v>
      </c>
      <c r="G39" s="6" t="s">
        <v>107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20"/>
      <c r="T39" s="10"/>
      <c r="U39" s="10"/>
      <c r="V39" s="10"/>
      <c r="W39" s="21" t="n">
        <v>104000</v>
      </c>
    </row>
    <row r="40" customFormat="false" ht="28.35" hidden="false" customHeight="false" outlineLevel="0" collapsed="false">
      <c r="A40" s="14" t="s">
        <v>146</v>
      </c>
      <c r="B40" s="15" t="s">
        <v>137</v>
      </c>
      <c r="C40" s="16" t="s">
        <v>147</v>
      </c>
      <c r="D40" s="15" t="s">
        <v>140</v>
      </c>
      <c r="E40" s="16" t="s">
        <v>148</v>
      </c>
      <c r="F40" s="14" t="n">
        <v>2</v>
      </c>
      <c r="G40" s="14" t="s">
        <v>107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20"/>
      <c r="T40" s="17"/>
      <c r="U40" s="17"/>
      <c r="V40" s="17"/>
      <c r="W40" s="22" t="n">
        <v>104000</v>
      </c>
    </row>
    <row r="41" customFormat="false" ht="37.3" hidden="false" customHeight="false" outlineLevel="0" collapsed="false">
      <c r="A41" s="6" t="s">
        <v>149</v>
      </c>
      <c r="B41" s="7" t="s">
        <v>137</v>
      </c>
      <c r="C41" s="8" t="s">
        <v>150</v>
      </c>
      <c r="D41" s="7" t="s">
        <v>143</v>
      </c>
      <c r="E41" s="8" t="s">
        <v>151</v>
      </c>
      <c r="F41" s="6" t="n">
        <v>5</v>
      </c>
      <c r="G41" s="6" t="s">
        <v>107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20"/>
      <c r="T41" s="20"/>
      <c r="U41" s="10"/>
      <c r="V41" s="10"/>
      <c r="W41" s="21" t="n">
        <v>259000</v>
      </c>
    </row>
    <row r="42" customFormat="false" ht="37.3" hidden="false" customHeight="false" outlineLevel="0" collapsed="false">
      <c r="A42" s="14" t="s">
        <v>152</v>
      </c>
      <c r="B42" s="15" t="s">
        <v>137</v>
      </c>
      <c r="C42" s="16" t="s">
        <v>153</v>
      </c>
      <c r="D42" s="15" t="s">
        <v>146</v>
      </c>
      <c r="E42" s="16" t="s">
        <v>154</v>
      </c>
      <c r="F42" s="14" t="n">
        <v>8</v>
      </c>
      <c r="G42" s="14" t="s">
        <v>107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20"/>
      <c r="T42" s="20"/>
      <c r="U42" s="17"/>
      <c r="V42" s="17"/>
      <c r="W42" s="22" t="n">
        <v>414000</v>
      </c>
    </row>
    <row r="43" customFormat="false" ht="37.3" hidden="false" customHeight="false" outlineLevel="0" collapsed="false">
      <c r="A43" s="6" t="s">
        <v>155</v>
      </c>
      <c r="B43" s="7" t="s">
        <v>137</v>
      </c>
      <c r="C43" s="8" t="s">
        <v>156</v>
      </c>
      <c r="D43" s="7" t="s">
        <v>149</v>
      </c>
      <c r="E43" s="8" t="s">
        <v>157</v>
      </c>
      <c r="F43" s="6" t="n">
        <v>2</v>
      </c>
      <c r="G43" s="6" t="s">
        <v>107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20"/>
      <c r="U43" s="10"/>
      <c r="V43" s="10"/>
      <c r="W43" s="21" t="n">
        <v>104000</v>
      </c>
    </row>
    <row r="44" customFormat="false" ht="18" hidden="false" customHeight="true" outlineLevel="0" collapsed="false">
      <c r="A44" s="23" t="s">
        <v>158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customFormat="false" ht="37.3" hidden="false" customHeight="false" outlineLevel="0" collapsed="false">
      <c r="A45" s="6" t="s">
        <v>159</v>
      </c>
      <c r="B45" s="7" t="s">
        <v>160</v>
      </c>
      <c r="C45" s="8" t="s">
        <v>161</v>
      </c>
      <c r="D45" s="7" t="s">
        <v>152</v>
      </c>
      <c r="E45" s="8" t="s">
        <v>162</v>
      </c>
      <c r="F45" s="6" t="n">
        <v>2</v>
      </c>
      <c r="G45" s="6" t="s">
        <v>107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24"/>
      <c r="U45" s="10"/>
      <c r="V45" s="10"/>
      <c r="W45" s="21" t="n">
        <v>104000</v>
      </c>
    </row>
    <row r="46" customFormat="false" ht="28.35" hidden="false" customHeight="false" outlineLevel="0" collapsed="false">
      <c r="A46" s="14" t="s">
        <v>163</v>
      </c>
      <c r="B46" s="15" t="s">
        <v>160</v>
      </c>
      <c r="C46" s="16" t="s">
        <v>164</v>
      </c>
      <c r="D46" s="15" t="s">
        <v>155</v>
      </c>
      <c r="E46" s="16" t="s">
        <v>165</v>
      </c>
      <c r="F46" s="14" t="n">
        <v>4</v>
      </c>
      <c r="G46" s="14" t="s">
        <v>107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24"/>
      <c r="V46" s="17"/>
      <c r="W46" s="22" t="n">
        <v>207000</v>
      </c>
    </row>
    <row r="47" customFormat="false" ht="37.3" hidden="false" customHeight="false" outlineLevel="0" collapsed="false">
      <c r="A47" s="6" t="s">
        <v>166</v>
      </c>
      <c r="B47" s="7" t="s">
        <v>160</v>
      </c>
      <c r="C47" s="8" t="s">
        <v>167</v>
      </c>
      <c r="D47" s="7" t="s">
        <v>159</v>
      </c>
      <c r="E47" s="8" t="s">
        <v>168</v>
      </c>
      <c r="F47" s="6" t="n">
        <v>3</v>
      </c>
      <c r="G47" s="6" t="s">
        <v>107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24"/>
      <c r="V47" s="24"/>
      <c r="W47" s="21" t="n">
        <v>155000</v>
      </c>
    </row>
    <row r="48" customFormat="false" ht="28.35" hidden="false" customHeight="false" outlineLevel="0" collapsed="false">
      <c r="A48" s="14" t="s">
        <v>169</v>
      </c>
      <c r="B48" s="15" t="s">
        <v>160</v>
      </c>
      <c r="C48" s="16" t="s">
        <v>170</v>
      </c>
      <c r="D48" s="15" t="s">
        <v>163</v>
      </c>
      <c r="E48" s="16" t="s">
        <v>171</v>
      </c>
      <c r="F48" s="14" t="n">
        <v>4</v>
      </c>
      <c r="G48" s="14" t="s">
        <v>107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24"/>
      <c r="W48" s="22" t="n">
        <v>207000</v>
      </c>
    </row>
    <row r="49" customFormat="false" ht="15" hidden="false" customHeight="false" outlineLevel="0" collapsed="false">
      <c r="A49" s="25" t="s">
        <v>172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 t="n">
        <f aca="false">SUM(W4:W48)</f>
        <v>8366000</v>
      </c>
    </row>
    <row r="51" customFormat="false" ht="15" hidden="false" customHeight="false" outlineLevel="0" collapsed="false">
      <c r="A51" s="27" t="s">
        <v>173</v>
      </c>
      <c r="D51" s="28" t="s">
        <v>174</v>
      </c>
      <c r="G51" s="29" t="s">
        <v>175</v>
      </c>
      <c r="J51" s="30" t="s">
        <v>176</v>
      </c>
    </row>
    <row r="53" customFormat="false" ht="27.75" hidden="false" customHeight="true" outlineLevel="0" collapsed="false">
      <c r="A53" s="31" t="s">
        <v>177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5" customFormat="false" ht="15" hidden="false" customHeight="false" outlineLevel="0" collapsed="false">
      <c r="A55" s="32" t="s">
        <v>178</v>
      </c>
    </row>
    <row r="56" customFormat="false" ht="15" hidden="false" customHeight="false" outlineLevel="0" collapsed="false">
      <c r="A56" s="33" t="s">
        <v>179</v>
      </c>
    </row>
    <row r="57" customFormat="false" ht="15" hidden="false" customHeight="false" outlineLevel="0" collapsed="false">
      <c r="A57" s="33" t="s">
        <v>180</v>
      </c>
    </row>
    <row r="58" customFormat="false" ht="15" hidden="false" customHeight="false" outlineLevel="0" collapsed="false">
      <c r="A58" s="33" t="s">
        <v>181</v>
      </c>
    </row>
    <row r="59" customFormat="false" ht="15" hidden="false" customHeight="false" outlineLevel="0" collapsed="false">
      <c r="A59" s="33" t="s">
        <v>182</v>
      </c>
    </row>
    <row r="60" customFormat="false" ht="15" hidden="false" customHeight="false" outlineLevel="0" collapsed="false">
      <c r="A60" s="33" t="s">
        <v>183</v>
      </c>
    </row>
    <row r="61" customFormat="false" ht="15" hidden="false" customHeight="false" outlineLevel="0" collapsed="false">
      <c r="A61" s="33" t="s">
        <v>184</v>
      </c>
    </row>
  </sheetData>
  <mergeCells count="7">
    <mergeCell ref="A1:W1"/>
    <mergeCell ref="A4:W4"/>
    <mergeCell ref="A6:W6"/>
    <mergeCell ref="A14:W14"/>
    <mergeCell ref="A44:W44"/>
    <mergeCell ref="A49:V49"/>
    <mergeCell ref="A53:W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5" min="3" style="0" width="13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3</v>
      </c>
      <c r="C2" s="2" t="s">
        <v>7</v>
      </c>
      <c r="D2" s="2" t="s">
        <v>186</v>
      </c>
      <c r="E2" s="2" t="s">
        <v>187</v>
      </c>
      <c r="F2" s="2" t="s">
        <v>6</v>
      </c>
      <c r="G2" s="2" t="s">
        <v>23</v>
      </c>
      <c r="H2" s="2" t="s">
        <v>188</v>
      </c>
    </row>
    <row r="3" customFormat="false" ht="15" hidden="false" customHeight="false" outlineLevel="0" collapsed="false">
      <c r="A3" s="34" t="s">
        <v>40</v>
      </c>
      <c r="B3" s="35" t="s">
        <v>42</v>
      </c>
      <c r="C3" s="34" t="s">
        <v>45</v>
      </c>
      <c r="D3" s="36" t="n">
        <v>46247</v>
      </c>
      <c r="E3" s="36" t="n">
        <v>46247</v>
      </c>
      <c r="F3" s="34" t="n">
        <v>1</v>
      </c>
      <c r="G3" s="37" t="n">
        <v>170000</v>
      </c>
      <c r="H3" s="34" t="s">
        <v>189</v>
      </c>
    </row>
    <row r="4" customFormat="false" ht="15" hidden="false" customHeight="false" outlineLevel="0" collapsed="false">
      <c r="A4" s="38" t="s">
        <v>47</v>
      </c>
      <c r="B4" s="39" t="s">
        <v>49</v>
      </c>
      <c r="C4" s="38" t="s">
        <v>45</v>
      </c>
      <c r="D4" s="40" t="n">
        <v>46248</v>
      </c>
      <c r="E4" s="40" t="n">
        <v>46248</v>
      </c>
      <c r="F4" s="38" t="n">
        <v>1.5</v>
      </c>
      <c r="G4" s="41" t="n">
        <v>60000</v>
      </c>
      <c r="H4" s="38" t="s">
        <v>189</v>
      </c>
    </row>
    <row r="5" customFormat="false" ht="15" hidden="false" customHeight="false" outlineLevel="0" collapsed="false">
      <c r="A5" s="34" t="s">
        <v>51</v>
      </c>
      <c r="B5" s="35" t="s">
        <v>52</v>
      </c>
      <c r="C5" s="34" t="s">
        <v>45</v>
      </c>
      <c r="D5" s="36" t="n">
        <v>46248</v>
      </c>
      <c r="E5" s="36" t="n">
        <v>46248</v>
      </c>
      <c r="F5" s="34" t="n">
        <v>1</v>
      </c>
      <c r="G5" s="37" t="n">
        <v>60000</v>
      </c>
      <c r="H5" s="34" t="s">
        <v>189</v>
      </c>
    </row>
    <row r="6" customFormat="false" ht="15" hidden="false" customHeight="false" outlineLevel="0" collapsed="false">
      <c r="A6" s="38" t="s">
        <v>54</v>
      </c>
      <c r="B6" s="39" t="s">
        <v>55</v>
      </c>
      <c r="C6" s="38" t="s">
        <v>45</v>
      </c>
      <c r="D6" s="40" t="n">
        <v>46248</v>
      </c>
      <c r="E6" s="40" t="n">
        <v>46248</v>
      </c>
      <c r="F6" s="38" t="n">
        <v>2</v>
      </c>
      <c r="G6" s="41" t="n">
        <v>100000</v>
      </c>
      <c r="H6" s="38" t="s">
        <v>189</v>
      </c>
    </row>
    <row r="7" customFormat="false" ht="15" hidden="false" customHeight="false" outlineLevel="0" collapsed="false">
      <c r="A7" s="34" t="s">
        <v>57</v>
      </c>
      <c r="B7" s="35" t="s">
        <v>58</v>
      </c>
      <c r="C7" s="34" t="s">
        <v>45</v>
      </c>
      <c r="D7" s="36" t="n">
        <v>46251</v>
      </c>
      <c r="E7" s="36" t="n">
        <v>46251</v>
      </c>
      <c r="F7" s="34" t="n">
        <v>1</v>
      </c>
      <c r="G7" s="37" t="n">
        <v>100000</v>
      </c>
      <c r="H7" s="34" t="s">
        <v>189</v>
      </c>
    </row>
    <row r="8" customFormat="false" ht="15" hidden="false" customHeight="false" outlineLevel="0" collapsed="false">
      <c r="A8" s="38" t="s">
        <v>60</v>
      </c>
      <c r="B8" s="39" t="s">
        <v>61</v>
      </c>
      <c r="C8" s="38" t="s">
        <v>45</v>
      </c>
      <c r="D8" s="40" t="n">
        <v>46251</v>
      </c>
      <c r="E8" s="40" t="n">
        <v>46251</v>
      </c>
      <c r="F8" s="38" t="n">
        <v>1</v>
      </c>
      <c r="G8" s="41" t="n">
        <v>90000</v>
      </c>
      <c r="H8" s="38" t="s">
        <v>189</v>
      </c>
    </row>
    <row r="9" customFormat="false" ht="15" hidden="false" customHeight="false" outlineLevel="0" collapsed="false">
      <c r="A9" s="34" t="s">
        <v>63</v>
      </c>
      <c r="B9" s="35" t="s">
        <v>64</v>
      </c>
      <c r="C9" s="34" t="s">
        <v>45</v>
      </c>
      <c r="D9" s="36" t="n">
        <v>46251</v>
      </c>
      <c r="E9" s="36" t="n">
        <v>46251</v>
      </c>
      <c r="F9" s="34" t="n">
        <v>2</v>
      </c>
      <c r="G9" s="37" t="n">
        <v>160000</v>
      </c>
      <c r="H9" s="34" t="s">
        <v>189</v>
      </c>
    </row>
    <row r="10" customFormat="false" ht="15" hidden="false" customHeight="false" outlineLevel="0" collapsed="false">
      <c r="A10" s="38" t="s">
        <v>66</v>
      </c>
      <c r="B10" s="39" t="s">
        <v>67</v>
      </c>
      <c r="C10" s="38" t="s">
        <v>45</v>
      </c>
      <c r="D10" s="40" t="n">
        <v>46252</v>
      </c>
      <c r="E10" s="40" t="n">
        <v>46253</v>
      </c>
      <c r="F10" s="38" t="n">
        <v>7</v>
      </c>
      <c r="G10" s="41" t="n">
        <v>160000</v>
      </c>
      <c r="H10" s="38" t="s">
        <v>189</v>
      </c>
    </row>
    <row r="11" customFormat="false" ht="15" hidden="false" customHeight="false" outlineLevel="0" collapsed="false">
      <c r="A11" s="34" t="s">
        <v>70</v>
      </c>
      <c r="B11" s="35" t="s">
        <v>72</v>
      </c>
      <c r="C11" s="34" t="s">
        <v>45</v>
      </c>
      <c r="D11" s="36" t="n">
        <v>46253</v>
      </c>
      <c r="E11" s="36" t="n">
        <v>46253</v>
      </c>
      <c r="F11" s="34" t="n">
        <v>2</v>
      </c>
      <c r="G11" s="37" t="n">
        <v>70000</v>
      </c>
      <c r="H11" s="34" t="s">
        <v>189</v>
      </c>
    </row>
    <row r="12" customFormat="false" ht="15" hidden="false" customHeight="false" outlineLevel="0" collapsed="false">
      <c r="A12" s="38" t="s">
        <v>74</v>
      </c>
      <c r="B12" s="39" t="s">
        <v>75</v>
      </c>
      <c r="C12" s="38" t="s">
        <v>45</v>
      </c>
      <c r="D12" s="40" t="n">
        <v>46253</v>
      </c>
      <c r="E12" s="40" t="n">
        <v>46253</v>
      </c>
      <c r="F12" s="38" t="n">
        <v>2</v>
      </c>
      <c r="G12" s="41" t="n">
        <v>70000</v>
      </c>
      <c r="H12" s="38" t="s">
        <v>189</v>
      </c>
    </row>
    <row r="13" customFormat="false" ht="15" hidden="false" customHeight="false" outlineLevel="0" collapsed="false">
      <c r="A13" s="34" t="s">
        <v>76</v>
      </c>
      <c r="B13" s="35" t="s">
        <v>77</v>
      </c>
      <c r="C13" s="34" t="s">
        <v>45</v>
      </c>
      <c r="D13" s="36" t="n">
        <v>46254</v>
      </c>
      <c r="E13" s="36" t="n">
        <v>46254</v>
      </c>
      <c r="F13" s="34" t="n">
        <v>2</v>
      </c>
      <c r="G13" s="37" t="n">
        <v>80000</v>
      </c>
      <c r="H13" s="34" t="s">
        <v>189</v>
      </c>
    </row>
    <row r="14" customFormat="false" ht="15" hidden="false" customHeight="false" outlineLevel="0" collapsed="false">
      <c r="A14" s="38" t="s">
        <v>79</v>
      </c>
      <c r="B14" s="39" t="s">
        <v>80</v>
      </c>
      <c r="C14" s="38" t="s">
        <v>45</v>
      </c>
      <c r="D14" s="40" t="n">
        <v>46254</v>
      </c>
      <c r="E14" s="40" t="n">
        <v>46254</v>
      </c>
      <c r="F14" s="38" t="n">
        <v>2</v>
      </c>
      <c r="G14" s="41" t="n">
        <v>80000</v>
      </c>
      <c r="H14" s="38" t="s">
        <v>189</v>
      </c>
    </row>
    <row r="15" customFormat="false" ht="15" hidden="false" customHeight="false" outlineLevel="0" collapsed="false">
      <c r="A15" s="34" t="s">
        <v>82</v>
      </c>
      <c r="B15" s="35" t="s">
        <v>83</v>
      </c>
      <c r="C15" s="34" t="s">
        <v>45</v>
      </c>
      <c r="D15" s="36" t="n">
        <v>46254</v>
      </c>
      <c r="E15" s="36" t="n">
        <v>46254</v>
      </c>
      <c r="F15" s="34" t="n">
        <v>1</v>
      </c>
      <c r="G15" s="37" t="n">
        <v>60000</v>
      </c>
      <c r="H15" s="34" t="s">
        <v>189</v>
      </c>
    </row>
    <row r="16" customFormat="false" ht="15" hidden="false" customHeight="false" outlineLevel="0" collapsed="false">
      <c r="A16" s="38" t="s">
        <v>84</v>
      </c>
      <c r="B16" s="39" t="s">
        <v>85</v>
      </c>
      <c r="C16" s="38" t="s">
        <v>45</v>
      </c>
      <c r="D16" s="40" t="n">
        <v>46254</v>
      </c>
      <c r="E16" s="40" t="n">
        <v>46255</v>
      </c>
      <c r="F16" s="38" t="n">
        <v>1</v>
      </c>
      <c r="G16" s="41" t="n">
        <v>45000</v>
      </c>
      <c r="H16" s="38" t="s">
        <v>189</v>
      </c>
    </row>
    <row r="17" customFormat="false" ht="15" hidden="false" customHeight="false" outlineLevel="0" collapsed="false">
      <c r="A17" s="34" t="s">
        <v>87</v>
      </c>
      <c r="B17" s="35" t="s">
        <v>88</v>
      </c>
      <c r="C17" s="34" t="s">
        <v>45</v>
      </c>
      <c r="D17" s="36" t="n">
        <v>46254</v>
      </c>
      <c r="E17" s="36" t="n">
        <v>46255</v>
      </c>
      <c r="F17" s="34" t="n">
        <v>1</v>
      </c>
      <c r="G17" s="37" t="n">
        <v>40000</v>
      </c>
      <c r="H17" s="34" t="s">
        <v>189</v>
      </c>
    </row>
    <row r="18" customFormat="false" ht="15" hidden="false" customHeight="false" outlineLevel="0" collapsed="false">
      <c r="A18" s="38" t="s">
        <v>89</v>
      </c>
      <c r="B18" s="39" t="s">
        <v>90</v>
      </c>
      <c r="C18" s="38" t="s">
        <v>45</v>
      </c>
      <c r="D18" s="40" t="n">
        <v>46254</v>
      </c>
      <c r="E18" s="40" t="n">
        <v>46255</v>
      </c>
      <c r="F18" s="38" t="n">
        <v>1</v>
      </c>
      <c r="G18" s="41" t="n">
        <v>40000</v>
      </c>
      <c r="H18" s="38" t="s">
        <v>189</v>
      </c>
    </row>
    <row r="19" customFormat="false" ht="15" hidden="false" customHeight="false" outlineLevel="0" collapsed="false">
      <c r="A19" s="34" t="s">
        <v>91</v>
      </c>
      <c r="B19" s="35" t="s">
        <v>92</v>
      </c>
      <c r="C19" s="34" t="s">
        <v>45</v>
      </c>
      <c r="D19" s="36" t="n">
        <v>46254</v>
      </c>
      <c r="E19" s="36" t="n">
        <v>46255</v>
      </c>
      <c r="F19" s="34" t="n">
        <v>1</v>
      </c>
      <c r="G19" s="37" t="n">
        <v>40000</v>
      </c>
      <c r="H19" s="34" t="s">
        <v>189</v>
      </c>
    </row>
    <row r="20" customFormat="false" ht="15" hidden="false" customHeight="false" outlineLevel="0" collapsed="false">
      <c r="A20" s="38" t="s">
        <v>93</v>
      </c>
      <c r="B20" s="39" t="s">
        <v>94</v>
      </c>
      <c r="C20" s="38" t="s">
        <v>45</v>
      </c>
      <c r="D20" s="40" t="n">
        <v>46258</v>
      </c>
      <c r="E20" s="40" t="n">
        <v>46259</v>
      </c>
      <c r="F20" s="38" t="n">
        <v>2</v>
      </c>
      <c r="G20" s="41" t="n">
        <v>180000</v>
      </c>
      <c r="H20" s="38" t="s">
        <v>189</v>
      </c>
    </row>
    <row r="21" customFormat="false" ht="15" hidden="false" customHeight="false" outlineLevel="0" collapsed="false">
      <c r="A21" s="34" t="s">
        <v>96</v>
      </c>
      <c r="B21" s="35" t="s">
        <v>97</v>
      </c>
      <c r="C21" s="34" t="s">
        <v>45</v>
      </c>
      <c r="D21" s="36" t="n">
        <v>46247</v>
      </c>
      <c r="E21" s="36" t="n">
        <v>46247</v>
      </c>
      <c r="F21" s="34" t="n">
        <v>0.5</v>
      </c>
      <c r="G21" s="37" t="n">
        <v>70000</v>
      </c>
      <c r="H21" s="34" t="s">
        <v>189</v>
      </c>
    </row>
    <row r="22" customFormat="false" ht="15" hidden="false" customHeight="false" outlineLevel="0" collapsed="false">
      <c r="A22" s="38" t="s">
        <v>99</v>
      </c>
      <c r="B22" s="39" t="s">
        <v>100</v>
      </c>
      <c r="C22" s="38" t="s">
        <v>102</v>
      </c>
      <c r="D22" s="40" t="n">
        <v>46259</v>
      </c>
      <c r="E22" s="40" t="n">
        <v>46260</v>
      </c>
      <c r="F22" s="38" t="n">
        <v>0.5</v>
      </c>
      <c r="G22" s="41" t="n">
        <v>60000</v>
      </c>
      <c r="H22" s="38" t="s">
        <v>189</v>
      </c>
    </row>
    <row r="23" customFormat="false" ht="15" hidden="false" customHeight="false" outlineLevel="0" collapsed="false">
      <c r="A23" s="34" t="s">
        <v>103</v>
      </c>
      <c r="B23" s="35" t="s">
        <v>105</v>
      </c>
      <c r="C23" s="34" t="s">
        <v>107</v>
      </c>
      <c r="D23" s="36" t="n">
        <v>46267</v>
      </c>
      <c r="E23" s="36"/>
      <c r="F23" s="34" t="n">
        <v>4</v>
      </c>
      <c r="G23" s="42" t="n">
        <v>207000</v>
      </c>
      <c r="H23" s="34" t="s">
        <v>190</v>
      </c>
    </row>
    <row r="24" customFormat="false" ht="15" hidden="false" customHeight="false" outlineLevel="0" collapsed="false">
      <c r="A24" s="38" t="s">
        <v>108</v>
      </c>
      <c r="B24" s="39" t="s">
        <v>109</v>
      </c>
      <c r="C24" s="38" t="s">
        <v>107</v>
      </c>
      <c r="D24" s="40" t="n">
        <v>46273</v>
      </c>
      <c r="E24" s="40"/>
      <c r="F24" s="38" t="n">
        <v>3</v>
      </c>
      <c r="G24" s="43" t="n">
        <v>155000</v>
      </c>
      <c r="H24" s="38" t="s">
        <v>190</v>
      </c>
    </row>
    <row r="25" customFormat="false" ht="15" hidden="false" customHeight="false" outlineLevel="0" collapsed="false">
      <c r="A25" s="34" t="s">
        <v>111</v>
      </c>
      <c r="B25" s="35" t="s">
        <v>112</v>
      </c>
      <c r="C25" s="34" t="s">
        <v>107</v>
      </c>
      <c r="D25" s="36" t="n">
        <v>46273</v>
      </c>
      <c r="E25" s="36"/>
      <c r="F25" s="34" t="n">
        <v>5</v>
      </c>
      <c r="G25" s="42" t="n">
        <v>259000</v>
      </c>
      <c r="H25" s="34" t="s">
        <v>190</v>
      </c>
    </row>
    <row r="26" customFormat="false" ht="15" hidden="false" customHeight="false" outlineLevel="0" collapsed="false">
      <c r="A26" s="38" t="s">
        <v>114</v>
      </c>
      <c r="B26" s="39" t="s">
        <v>115</v>
      </c>
      <c r="C26" s="38" t="s">
        <v>107</v>
      </c>
      <c r="D26" s="40" t="n">
        <v>46273</v>
      </c>
      <c r="E26" s="40"/>
      <c r="F26" s="38" t="n">
        <v>3</v>
      </c>
      <c r="G26" s="43" t="n">
        <v>155000</v>
      </c>
      <c r="H26" s="38" t="s">
        <v>190</v>
      </c>
    </row>
    <row r="27" customFormat="false" ht="15" hidden="false" customHeight="false" outlineLevel="0" collapsed="false">
      <c r="A27" s="34" t="s">
        <v>117</v>
      </c>
      <c r="B27" s="35" t="s">
        <v>118</v>
      </c>
      <c r="C27" s="34" t="s">
        <v>107</v>
      </c>
      <c r="D27" s="36" t="n">
        <v>46273</v>
      </c>
      <c r="E27" s="36"/>
      <c r="F27" s="34" t="n">
        <v>2</v>
      </c>
      <c r="G27" s="42" t="n">
        <v>104000</v>
      </c>
      <c r="H27" s="34" t="s">
        <v>190</v>
      </c>
    </row>
    <row r="28" customFormat="false" ht="15" hidden="false" customHeight="false" outlineLevel="0" collapsed="false">
      <c r="A28" s="38" t="s">
        <v>120</v>
      </c>
      <c r="B28" s="39" t="s">
        <v>122</v>
      </c>
      <c r="C28" s="38" t="s">
        <v>107</v>
      </c>
      <c r="D28" s="40" t="n">
        <v>46280</v>
      </c>
      <c r="E28" s="40"/>
      <c r="F28" s="38" t="n">
        <v>28</v>
      </c>
      <c r="G28" s="43" t="n">
        <v>1450000</v>
      </c>
      <c r="H28" s="38" t="s">
        <v>190</v>
      </c>
    </row>
    <row r="29" customFormat="false" ht="15" hidden="false" customHeight="false" outlineLevel="0" collapsed="false">
      <c r="A29" s="34" t="s">
        <v>124</v>
      </c>
      <c r="B29" s="35" t="s">
        <v>125</v>
      </c>
      <c r="C29" s="34" t="s">
        <v>107</v>
      </c>
      <c r="D29" s="36" t="n">
        <v>46300</v>
      </c>
      <c r="E29" s="36"/>
      <c r="F29" s="34" t="n">
        <v>6</v>
      </c>
      <c r="G29" s="42" t="n">
        <v>311000</v>
      </c>
      <c r="H29" s="34" t="s">
        <v>190</v>
      </c>
    </row>
    <row r="30" customFormat="false" ht="15" hidden="false" customHeight="false" outlineLevel="0" collapsed="false">
      <c r="A30" s="38" t="s">
        <v>127</v>
      </c>
      <c r="B30" s="39" t="s">
        <v>128</v>
      </c>
      <c r="C30" s="38" t="s">
        <v>107</v>
      </c>
      <c r="D30" s="40" t="n">
        <v>46280</v>
      </c>
      <c r="E30" s="40"/>
      <c r="F30" s="38" t="n">
        <v>6</v>
      </c>
      <c r="G30" s="43" t="n">
        <v>311000</v>
      </c>
      <c r="H30" s="38" t="s">
        <v>190</v>
      </c>
    </row>
    <row r="31" customFormat="false" ht="15" hidden="false" customHeight="false" outlineLevel="0" collapsed="false">
      <c r="A31" s="34" t="s">
        <v>130</v>
      </c>
      <c r="B31" s="35" t="s">
        <v>131</v>
      </c>
      <c r="C31" s="34" t="s">
        <v>107</v>
      </c>
      <c r="D31" s="36" t="n">
        <v>46287</v>
      </c>
      <c r="E31" s="36"/>
      <c r="F31" s="34" t="n">
        <v>20</v>
      </c>
      <c r="G31" s="42" t="n">
        <v>1036000</v>
      </c>
      <c r="H31" s="34" t="s">
        <v>190</v>
      </c>
    </row>
    <row r="32" customFormat="false" ht="15" hidden="false" customHeight="false" outlineLevel="0" collapsed="false">
      <c r="A32" s="38" t="s">
        <v>133</v>
      </c>
      <c r="B32" s="39" t="s">
        <v>134</v>
      </c>
      <c r="C32" s="38" t="s">
        <v>107</v>
      </c>
      <c r="D32" s="40" t="n">
        <v>46306</v>
      </c>
      <c r="E32" s="40"/>
      <c r="F32" s="38" t="n">
        <v>15</v>
      </c>
      <c r="G32" s="43" t="n">
        <v>777000</v>
      </c>
      <c r="H32" s="38" t="s">
        <v>190</v>
      </c>
    </row>
    <row r="33" customFormat="false" ht="15" hidden="false" customHeight="false" outlineLevel="0" collapsed="false">
      <c r="A33" s="34" t="s">
        <v>136</v>
      </c>
      <c r="B33" s="35" t="s">
        <v>138</v>
      </c>
      <c r="C33" s="34" t="s">
        <v>107</v>
      </c>
      <c r="D33" s="36" t="n">
        <v>46313</v>
      </c>
      <c r="E33" s="36"/>
      <c r="F33" s="34" t="n">
        <v>2</v>
      </c>
      <c r="G33" s="42" t="n">
        <v>104000</v>
      </c>
      <c r="H33" s="34" t="s">
        <v>190</v>
      </c>
    </row>
    <row r="34" customFormat="false" ht="15" hidden="false" customHeight="false" outlineLevel="0" collapsed="false">
      <c r="A34" s="38" t="s">
        <v>140</v>
      </c>
      <c r="B34" s="39" t="s">
        <v>141</v>
      </c>
      <c r="C34" s="38" t="s">
        <v>107</v>
      </c>
      <c r="D34" s="40" t="n">
        <v>46313</v>
      </c>
      <c r="E34" s="40"/>
      <c r="F34" s="38" t="n">
        <v>2</v>
      </c>
      <c r="G34" s="43" t="n">
        <v>104000</v>
      </c>
      <c r="H34" s="38" t="s">
        <v>190</v>
      </c>
    </row>
    <row r="35" customFormat="false" ht="15" hidden="false" customHeight="false" outlineLevel="0" collapsed="false">
      <c r="A35" s="34" t="s">
        <v>143</v>
      </c>
      <c r="B35" s="35" t="s">
        <v>144</v>
      </c>
      <c r="C35" s="34" t="s">
        <v>107</v>
      </c>
      <c r="D35" s="36" t="n">
        <v>46320</v>
      </c>
      <c r="E35" s="36"/>
      <c r="F35" s="34" t="n">
        <v>2</v>
      </c>
      <c r="G35" s="42" t="n">
        <v>104000</v>
      </c>
      <c r="H35" s="34" t="s">
        <v>190</v>
      </c>
    </row>
    <row r="36" customFormat="false" ht="15" hidden="false" customHeight="false" outlineLevel="0" collapsed="false">
      <c r="A36" s="38" t="s">
        <v>146</v>
      </c>
      <c r="B36" s="39" t="s">
        <v>147</v>
      </c>
      <c r="C36" s="38" t="s">
        <v>107</v>
      </c>
      <c r="D36" s="40" t="n">
        <v>46320</v>
      </c>
      <c r="E36" s="40"/>
      <c r="F36" s="38" t="n">
        <v>2</v>
      </c>
      <c r="G36" s="43" t="n">
        <v>104000</v>
      </c>
      <c r="H36" s="38" t="s">
        <v>190</v>
      </c>
    </row>
    <row r="37" customFormat="false" ht="15" hidden="false" customHeight="false" outlineLevel="0" collapsed="false">
      <c r="A37" s="34" t="s">
        <v>149</v>
      </c>
      <c r="B37" s="35" t="s">
        <v>150</v>
      </c>
      <c r="C37" s="34" t="s">
        <v>107</v>
      </c>
      <c r="D37" s="36" t="n">
        <v>46320</v>
      </c>
      <c r="E37" s="36"/>
      <c r="F37" s="34" t="n">
        <v>5</v>
      </c>
      <c r="G37" s="42" t="n">
        <v>259000</v>
      </c>
      <c r="H37" s="34" t="s">
        <v>190</v>
      </c>
    </row>
    <row r="38" customFormat="false" ht="15" hidden="false" customHeight="false" outlineLevel="0" collapsed="false">
      <c r="A38" s="38" t="s">
        <v>152</v>
      </c>
      <c r="B38" s="39" t="s">
        <v>153</v>
      </c>
      <c r="C38" s="38" t="s">
        <v>107</v>
      </c>
      <c r="D38" s="40" t="n">
        <v>46320</v>
      </c>
      <c r="E38" s="40"/>
      <c r="F38" s="38" t="n">
        <v>8</v>
      </c>
      <c r="G38" s="43" t="n">
        <v>414000</v>
      </c>
      <c r="H38" s="38" t="s">
        <v>190</v>
      </c>
    </row>
    <row r="39" customFormat="false" ht="15" hidden="false" customHeight="false" outlineLevel="0" collapsed="false">
      <c r="A39" s="34" t="s">
        <v>155</v>
      </c>
      <c r="B39" s="35" t="s">
        <v>156</v>
      </c>
      <c r="C39" s="34" t="s">
        <v>107</v>
      </c>
      <c r="D39" s="36" t="n">
        <v>46326</v>
      </c>
      <c r="E39" s="36"/>
      <c r="F39" s="34" t="n">
        <v>2</v>
      </c>
      <c r="G39" s="42" t="n">
        <v>104000</v>
      </c>
      <c r="H39" s="34" t="s">
        <v>190</v>
      </c>
    </row>
    <row r="40" customFormat="false" ht="15" hidden="false" customHeight="false" outlineLevel="0" collapsed="false">
      <c r="A40" s="38" t="s">
        <v>159</v>
      </c>
      <c r="B40" s="39" t="s">
        <v>161</v>
      </c>
      <c r="C40" s="38" t="s">
        <v>107</v>
      </c>
      <c r="D40" s="40" t="n">
        <v>46326</v>
      </c>
      <c r="E40" s="40"/>
      <c r="F40" s="38" t="n">
        <v>2</v>
      </c>
      <c r="G40" s="43" t="n">
        <v>104000</v>
      </c>
      <c r="H40" s="38" t="s">
        <v>190</v>
      </c>
    </row>
    <row r="41" customFormat="false" ht="15" hidden="false" customHeight="false" outlineLevel="0" collapsed="false">
      <c r="A41" s="34" t="s">
        <v>163</v>
      </c>
      <c r="B41" s="35" t="s">
        <v>164</v>
      </c>
      <c r="C41" s="34" t="s">
        <v>107</v>
      </c>
      <c r="D41" s="36" t="n">
        <v>46333</v>
      </c>
      <c r="E41" s="36"/>
      <c r="F41" s="34" t="n">
        <v>4</v>
      </c>
      <c r="G41" s="42" t="n">
        <v>207000</v>
      </c>
      <c r="H41" s="34" t="s">
        <v>190</v>
      </c>
    </row>
    <row r="42" customFormat="false" ht="15" hidden="false" customHeight="false" outlineLevel="0" collapsed="false">
      <c r="A42" s="38" t="s">
        <v>166</v>
      </c>
      <c r="B42" s="39" t="s">
        <v>167</v>
      </c>
      <c r="C42" s="38" t="s">
        <v>107</v>
      </c>
      <c r="D42" s="40" t="n">
        <v>46333</v>
      </c>
      <c r="E42" s="40"/>
      <c r="F42" s="38" t="n">
        <v>3</v>
      </c>
      <c r="G42" s="43" t="n">
        <v>155000</v>
      </c>
      <c r="H42" s="38" t="s">
        <v>190</v>
      </c>
    </row>
    <row r="43" customFormat="false" ht="15" hidden="false" customHeight="false" outlineLevel="0" collapsed="false">
      <c r="A43" s="34" t="s">
        <v>169</v>
      </c>
      <c r="B43" s="35" t="s">
        <v>170</v>
      </c>
      <c r="C43" s="34" t="s">
        <v>107</v>
      </c>
      <c r="D43" s="36" t="n">
        <v>46339</v>
      </c>
      <c r="E43" s="36"/>
      <c r="F43" s="34" t="n">
        <v>4</v>
      </c>
      <c r="G43" s="42" t="n">
        <v>207000</v>
      </c>
      <c r="H43" s="34" t="s">
        <v>190</v>
      </c>
    </row>
    <row r="44" customFormat="false" ht="15" hidden="false" customHeight="false" outlineLevel="0" collapsed="false">
      <c r="A44" s="44" t="s">
        <v>191</v>
      </c>
      <c r="B44" s="44"/>
      <c r="C44" s="44"/>
      <c r="D44" s="44"/>
      <c r="E44" s="44"/>
      <c r="F44" s="44"/>
      <c r="G44" s="45" t="n">
        <f aca="false">SUM(G3:G43)</f>
        <v>8366000</v>
      </c>
      <c r="H44" s="46"/>
    </row>
    <row r="46" customFormat="false" ht="15" hidden="false" customHeight="false" outlineLevel="0" collapsed="false">
      <c r="A46" s="47" t="s">
        <v>192</v>
      </c>
    </row>
    <row r="47" customFormat="false" ht="19.4" hidden="false" customHeight="true" outlineLevel="0" collapsed="false">
      <c r="A47" s="48" t="s">
        <v>193</v>
      </c>
      <c r="B47" s="48"/>
      <c r="C47" s="48"/>
      <c r="D47" s="48"/>
      <c r="E47" s="48"/>
      <c r="F47" s="48"/>
      <c r="G47" s="48"/>
      <c r="H47" s="48"/>
    </row>
  </sheetData>
  <mergeCells count="3">
    <mergeCell ref="A1:H1"/>
    <mergeCell ref="A44:F44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194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9" t="s">
        <v>195</v>
      </c>
      <c r="B3" s="49"/>
      <c r="C3" s="49"/>
      <c r="E3" s="49" t="s">
        <v>196</v>
      </c>
      <c r="F3" s="49"/>
      <c r="G3" s="49"/>
    </row>
    <row r="4" customFormat="false" ht="15" hidden="false" customHeight="false" outlineLevel="0" collapsed="false">
      <c r="A4" s="50" t="s">
        <v>197</v>
      </c>
      <c r="B4" s="50" t="s">
        <v>198</v>
      </c>
      <c r="C4" s="50" t="s">
        <v>199</v>
      </c>
      <c r="E4" s="50" t="s">
        <v>200</v>
      </c>
      <c r="F4" s="50" t="s">
        <v>201</v>
      </c>
      <c r="G4" s="50" t="s">
        <v>202</v>
      </c>
    </row>
    <row r="5" customFormat="false" ht="15" hidden="false" customHeight="false" outlineLevel="0" collapsed="false">
      <c r="A5" s="35" t="s">
        <v>203</v>
      </c>
      <c r="B5" s="37" t="n">
        <v>6136000</v>
      </c>
      <c r="C5" s="37" t="n">
        <v>33714</v>
      </c>
      <c r="E5" s="35" t="s">
        <v>204</v>
      </c>
      <c r="F5" s="35" t="s">
        <v>205</v>
      </c>
      <c r="G5" s="37" t="n">
        <v>3699000</v>
      </c>
    </row>
    <row r="6" customFormat="false" ht="15" hidden="false" customHeight="false" outlineLevel="0" collapsed="false">
      <c r="A6" s="39" t="s">
        <v>206</v>
      </c>
      <c r="B6" s="41" t="n">
        <v>5664000</v>
      </c>
      <c r="C6" s="41" t="n">
        <v>31121</v>
      </c>
      <c r="E6" s="39" t="s">
        <v>204</v>
      </c>
      <c r="F6" s="39" t="s">
        <v>207</v>
      </c>
      <c r="G6" s="41" t="n">
        <v>3220000</v>
      </c>
    </row>
    <row r="7" customFormat="false" ht="15" hidden="false" customHeight="false" outlineLevel="0" collapsed="false">
      <c r="A7" s="35" t="s">
        <v>208</v>
      </c>
      <c r="B7" s="37" t="n">
        <v>5192000</v>
      </c>
      <c r="C7" s="37" t="n">
        <v>28527</v>
      </c>
      <c r="E7" s="35" t="s">
        <v>204</v>
      </c>
      <c r="F7" s="35" t="s">
        <v>209</v>
      </c>
      <c r="G7" s="37" t="n">
        <v>3499900</v>
      </c>
    </row>
    <row r="8" customFormat="false" ht="15" hidden="false" customHeight="false" outlineLevel="0" collapsed="false">
      <c r="A8" s="39" t="s">
        <v>210</v>
      </c>
      <c r="B8" s="41" t="n">
        <v>4248000</v>
      </c>
      <c r="C8" s="41" t="n">
        <v>23341</v>
      </c>
      <c r="E8" s="39" t="s">
        <v>204</v>
      </c>
      <c r="F8" s="39" t="s">
        <v>211</v>
      </c>
      <c r="G8" s="41" t="n">
        <v>2299900</v>
      </c>
    </row>
    <row r="9" customFormat="false" ht="15" hidden="false" customHeight="false" outlineLevel="0" collapsed="false">
      <c r="A9" s="35" t="s">
        <v>212</v>
      </c>
      <c r="B9" s="37" t="n">
        <v>3304000</v>
      </c>
      <c r="C9" s="37" t="n">
        <v>18154</v>
      </c>
      <c r="E9" s="35" t="s">
        <v>204</v>
      </c>
      <c r="F9" s="35" t="s">
        <v>211</v>
      </c>
      <c r="G9" s="37" t="n">
        <v>2299900</v>
      </c>
    </row>
    <row r="10" customFormat="false" ht="15" hidden="false" customHeight="false" outlineLevel="0" collapsed="false">
      <c r="A10" s="39" t="s">
        <v>213</v>
      </c>
      <c r="B10" s="41" t="n">
        <v>4248000</v>
      </c>
      <c r="C10" s="41" t="n">
        <v>23341</v>
      </c>
      <c r="E10" s="39" t="s">
        <v>204</v>
      </c>
      <c r="F10" s="39" t="s">
        <v>211</v>
      </c>
      <c r="G10" s="41" t="n">
        <v>2299900</v>
      </c>
    </row>
    <row r="11" customFormat="false" ht="15" hidden="false" customHeight="false" outlineLevel="0" collapsed="false">
      <c r="A11" s="35" t="s">
        <v>214</v>
      </c>
      <c r="B11" s="37" t="n">
        <v>28792000</v>
      </c>
      <c r="C11" s="37" t="n">
        <v>158198</v>
      </c>
      <c r="E11" s="35" t="s">
        <v>215</v>
      </c>
      <c r="F11" s="35" t="s">
        <v>216</v>
      </c>
      <c r="G11" s="37" t="n">
        <v>499930</v>
      </c>
    </row>
    <row r="12" customFormat="false" ht="15" hidden="false" customHeight="false" outlineLevel="0" collapsed="false">
      <c r="E12" s="39" t="s">
        <v>215</v>
      </c>
      <c r="F12" s="39" t="s">
        <v>216</v>
      </c>
      <c r="G12" s="41" t="n">
        <v>499930</v>
      </c>
    </row>
    <row r="13" customFormat="false" ht="15" hidden="false" customHeight="false" outlineLevel="0" collapsed="false">
      <c r="A13" s="49" t="s">
        <v>217</v>
      </c>
      <c r="B13" s="49"/>
      <c r="C13" s="49"/>
      <c r="E13" s="51" t="s">
        <v>218</v>
      </c>
      <c r="F13" s="51"/>
      <c r="G13" s="51"/>
    </row>
    <row r="14" customFormat="false" ht="15" hidden="false" customHeight="false" outlineLevel="0" collapsed="false">
      <c r="A14" s="50" t="s">
        <v>200</v>
      </c>
      <c r="B14" s="50" t="s">
        <v>219</v>
      </c>
      <c r="C14" s="50" t="s">
        <v>202</v>
      </c>
      <c r="E14" s="50" t="s">
        <v>200</v>
      </c>
      <c r="F14" s="50" t="s">
        <v>201</v>
      </c>
      <c r="G14" s="52" t="s">
        <v>202</v>
      </c>
    </row>
    <row r="15" customFormat="false" ht="15" hidden="false" customHeight="false" outlineLevel="0" collapsed="false">
      <c r="A15" s="35" t="s">
        <v>220</v>
      </c>
      <c r="B15" s="53" t="n">
        <v>2</v>
      </c>
      <c r="C15" s="37" t="n">
        <v>40000</v>
      </c>
      <c r="E15" s="35" t="s">
        <v>221</v>
      </c>
      <c r="F15" s="35" t="s">
        <v>222</v>
      </c>
      <c r="G15" s="37" t="n">
        <v>3500000</v>
      </c>
    </row>
    <row r="16" customFormat="false" ht="15" hidden="false" customHeight="false" outlineLevel="0" collapsed="false">
      <c r="A16" s="39" t="s">
        <v>223</v>
      </c>
      <c r="B16" s="54" t="n">
        <v>6</v>
      </c>
      <c r="C16" s="41" t="n">
        <v>90000</v>
      </c>
      <c r="E16" s="39" t="s">
        <v>224</v>
      </c>
      <c r="F16" s="39" t="s">
        <v>225</v>
      </c>
      <c r="G16" s="41" t="n">
        <v>8500000</v>
      </c>
    </row>
    <row r="17" customFormat="false" ht="15" hidden="false" customHeight="false" outlineLevel="0" collapsed="false">
      <c r="A17" s="35" t="s">
        <v>226</v>
      </c>
      <c r="B17" s="53" t="n">
        <v>6</v>
      </c>
      <c r="C17" s="37" t="n">
        <v>180000</v>
      </c>
      <c r="E17" s="35" t="s">
        <v>227</v>
      </c>
      <c r="F17" s="35" t="s">
        <v>222</v>
      </c>
      <c r="G17" s="37" t="n">
        <v>1500000</v>
      </c>
    </row>
    <row r="18" customFormat="false" ht="15" hidden="false" customHeight="false" outlineLevel="0" collapsed="false">
      <c r="A18" s="39" t="s">
        <v>228</v>
      </c>
      <c r="B18" s="54" t="n">
        <v>12</v>
      </c>
      <c r="C18" s="41" t="n">
        <v>30000</v>
      </c>
      <c r="E18" s="39" t="s">
        <v>229</v>
      </c>
      <c r="F18" s="39" t="s">
        <v>222</v>
      </c>
      <c r="G18" s="41" t="n">
        <v>3400000</v>
      </c>
    </row>
    <row r="19" customFormat="false" ht="15" hidden="false" customHeight="false" outlineLevel="0" collapsed="false">
      <c r="A19" s="35" t="s">
        <v>230</v>
      </c>
      <c r="B19" s="53" t="n">
        <v>1</v>
      </c>
      <c r="C19" s="37" t="n">
        <v>120000</v>
      </c>
      <c r="E19" s="35" t="s">
        <v>214</v>
      </c>
      <c r="F19" s="35"/>
      <c r="G19" s="37" t="n">
        <v>16900000</v>
      </c>
    </row>
    <row r="20" customFormat="false" ht="15" hidden="false" customHeight="false" outlineLevel="0" collapsed="false">
      <c r="A20" s="39" t="s">
        <v>231</v>
      </c>
      <c r="B20" s="54" t="n">
        <v>6</v>
      </c>
      <c r="C20" s="41" t="n">
        <v>1080000</v>
      </c>
    </row>
    <row r="21" customFormat="false" ht="15" hidden="false" customHeight="false" outlineLevel="0" collapsed="false">
      <c r="A21" s="35" t="s">
        <v>214</v>
      </c>
      <c r="B21" s="35"/>
      <c r="C21" s="37" t="n">
        <v>1540000</v>
      </c>
    </row>
    <row r="24" customFormat="false" ht="15" hidden="false" customHeight="false" outlineLevel="0" collapsed="false">
      <c r="A24" s="44" t="s">
        <v>232</v>
      </c>
      <c r="B24" s="44"/>
      <c r="C24" s="44"/>
      <c r="D24" s="44"/>
      <c r="E24" s="44"/>
      <c r="F24" s="44"/>
      <c r="G24" s="45" t="n">
        <v>71930390</v>
      </c>
    </row>
    <row r="26" customFormat="false" ht="30" hidden="false" customHeight="true" outlineLevel="0" collapsed="false">
      <c r="A26" s="55" t="s">
        <v>233</v>
      </c>
      <c r="B26" s="55"/>
      <c r="C26" s="55"/>
      <c r="D26" s="55"/>
      <c r="E26" s="55"/>
      <c r="F26" s="55"/>
      <c r="G26" s="55"/>
      <c r="H26" s="55"/>
      <c r="I26" s="55"/>
    </row>
  </sheetData>
  <mergeCells count="7">
    <mergeCell ref="A1:F1"/>
    <mergeCell ref="A3:C3"/>
    <mergeCell ref="E3:G3"/>
    <mergeCell ref="A13:C13"/>
    <mergeCell ref="E13:G13"/>
    <mergeCell ref="A24:F24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2026-08-27T22:32:37Z</dcterms:created>
  <dc:creator>openpyxl</dc:creator>
  <dc:description/>
  <dc:language>en-US</dc:language>
  <cp:lastModifiedBy/>
  <dcterms:modified xsi:type="dcterms:W3CDTF">2026-08-27T22:32:37Z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